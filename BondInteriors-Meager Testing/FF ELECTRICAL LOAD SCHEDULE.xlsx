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yfrancis\Desktop\Excel\"/>
    </mc:Choice>
  </mc:AlternateContent>
  <bookViews>
    <workbookView xWindow="0" yWindow="0" windowWidth="28800" windowHeight="12435" activeTab="5"/>
  </bookViews>
  <sheets>
    <sheet name="SMDB-1" sheetId="19" r:id="rId1"/>
    <sheet name="DB-1-N2" sheetId="20" r:id="rId2"/>
    <sheet name="1-SPA2" sheetId="21" r:id="rId3"/>
    <sheet name="1-SPA-1" sheetId="22" r:id="rId4"/>
    <sheet name="SP-LL" sheetId="18" r:id="rId5"/>
    <sheet name="1-SPA-3" sheetId="23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_100Excel_BuiltIn_Print_Area_40_1" localSheetId="3">[1]LMCP_SEF_GT_RD_1!$A$1:$R$32</definedName>
    <definedName name="_100Excel_BuiltIn_Print_Area_40_1" localSheetId="2">[1]LMCP_SEF_GT_RD_1!$A$1:$R$32</definedName>
    <definedName name="_100Excel_BuiltIn_Print_Area_40_1" localSheetId="5">[1]LMCP_SEF_GT_RD_1!$A$1:$R$32</definedName>
    <definedName name="_100Excel_BuiltIn_Print_Area_40_1" localSheetId="1">[1]LMCP_SEF_GT_RD_1!$A$1:$R$32</definedName>
    <definedName name="_100Excel_BuiltIn_Print_Area_40_1" localSheetId="4">[1]LMCP_SEF_GT_RD_1!$A$1:$R$32</definedName>
    <definedName name="_102Excel_BuiltIn_Print_Area_44_1" localSheetId="3">#REF!</definedName>
    <definedName name="_102Excel_BuiltIn_Print_Area_44_1" localSheetId="2">#REF!</definedName>
    <definedName name="_102Excel_BuiltIn_Print_Area_44_1" localSheetId="5">#REF!</definedName>
    <definedName name="_102Excel_BuiltIn_Print_Area_44_1" localSheetId="1">#REF!</definedName>
    <definedName name="_102Excel_BuiltIn_Print_Area_44_1" localSheetId="0">#REF!</definedName>
    <definedName name="_102Excel_BuiltIn_Print_Area_44_1" localSheetId="4">#REF!</definedName>
    <definedName name="_102Excel_BuiltIn_Print_Area_44_1">#REF!</definedName>
    <definedName name="_103Excel_BuiltIn_Print_Area_40_1">[2]LMCP_SEF_GT_RD_1!$A$1:$R$32</definedName>
    <definedName name="_105Excel_BuiltIn_Print_Area_41_1" localSheetId="3">[1]LMCP_SPF_GT_RD_1!$A$1:$R$32</definedName>
    <definedName name="_105Excel_BuiltIn_Print_Area_41_1" localSheetId="2">[1]LMCP_SPF_GT_RD_1!$A$1:$R$32</definedName>
    <definedName name="_105Excel_BuiltIn_Print_Area_41_1" localSheetId="5">[1]LMCP_SPF_GT_RD_1!$A$1:$R$32</definedName>
    <definedName name="_105Excel_BuiltIn_Print_Area_41_1" localSheetId="1">[1]LMCP_SPF_GT_RD_1!$A$1:$R$32</definedName>
    <definedName name="_105Excel_BuiltIn_Print_Area_41_1" localSheetId="4">[1]LMCP_SPF_GT_RD_1!$A$1:$R$32</definedName>
    <definedName name="_106Excel_BuiltIn_Print_Area_45_1">[2]LMCP_AHU_GT_LGM_1!$A$1:$R$32</definedName>
    <definedName name="_108Excel_BuiltIn_Print_Area_41_1">[2]LMCP_SPF_GT_RD_1!$A$1:$R$32</definedName>
    <definedName name="_10Excel_BuiltIn_Print_Area_100_1" localSheetId="3">#REF!</definedName>
    <definedName name="_10Excel_BuiltIn_Print_Area_100_1" localSheetId="2">#REF!</definedName>
    <definedName name="_10Excel_BuiltIn_Print_Area_100_1" localSheetId="5">#REF!</definedName>
    <definedName name="_10Excel_BuiltIn_Print_Area_100_1" localSheetId="1">#REF!</definedName>
    <definedName name="_10Excel_BuiltIn_Print_Area_100_1" localSheetId="0">#REF!</definedName>
    <definedName name="_10Excel_BuiltIn_Print_Area_100_1" localSheetId="4">#REF!</definedName>
    <definedName name="_10Excel_BuiltIn_Print_Area_100_1">#REF!</definedName>
    <definedName name="_10Excel_BuiltIn_Print_Area_14_1" localSheetId="3">#REF!</definedName>
    <definedName name="_10Excel_BuiltIn_Print_Area_14_1" localSheetId="2">#REF!</definedName>
    <definedName name="_10Excel_BuiltIn_Print_Area_14_1" localSheetId="5">#REF!</definedName>
    <definedName name="_10Excel_BuiltIn_Print_Area_14_1" localSheetId="1">#REF!</definedName>
    <definedName name="_10Excel_BuiltIn_Print_Area_14_1" localSheetId="0">#REF!</definedName>
    <definedName name="_10Excel_BuiltIn_Print_Area_14_1" localSheetId="4">#REF!</definedName>
    <definedName name="_10Excel_BuiltIn_Print_Area_14_1">#REF!</definedName>
    <definedName name="_110Excel_BuiltIn_Print_Area_42_1" localSheetId="3">#REF!</definedName>
    <definedName name="_110Excel_BuiltIn_Print_Area_42_1" localSheetId="2">#REF!</definedName>
    <definedName name="_110Excel_BuiltIn_Print_Area_42_1" localSheetId="5">#REF!</definedName>
    <definedName name="_110Excel_BuiltIn_Print_Area_42_1" localSheetId="1">#REF!</definedName>
    <definedName name="_110Excel_BuiltIn_Print_Area_42_1" localSheetId="4">#REF!</definedName>
    <definedName name="_110Excel_BuiltIn_Print_Area_46_1" localSheetId="3">#REF!</definedName>
    <definedName name="_110Excel_BuiltIn_Print_Area_46_1" localSheetId="2">#REF!</definedName>
    <definedName name="_110Excel_BuiltIn_Print_Area_46_1" localSheetId="5">#REF!</definedName>
    <definedName name="_110Excel_BuiltIn_Print_Area_46_1" localSheetId="1">#REF!</definedName>
    <definedName name="_110Excel_BuiltIn_Print_Area_46_1" localSheetId="0">#REF!</definedName>
    <definedName name="_110Excel_BuiltIn_Print_Area_46_1" localSheetId="4">#REF!</definedName>
    <definedName name="_110Excel_BuiltIn_Print_Area_46_1">#REF!</definedName>
    <definedName name="_113Excel_BuiltIn_Print_Area_42_1" localSheetId="3">#REF!</definedName>
    <definedName name="_113Excel_BuiltIn_Print_Area_42_1" localSheetId="2">#REF!</definedName>
    <definedName name="_113Excel_BuiltIn_Print_Area_42_1" localSheetId="5">#REF!</definedName>
    <definedName name="_113Excel_BuiltIn_Print_Area_42_1" localSheetId="1">#REF!</definedName>
    <definedName name="_113Excel_BuiltIn_Print_Area_42_1" localSheetId="0">#REF!</definedName>
    <definedName name="_113Excel_BuiltIn_Print_Area_42_1" localSheetId="4">#REF!</definedName>
    <definedName name="_113Excel_BuiltIn_Print_Area_42_1">#REF!</definedName>
    <definedName name="_114Excel_BuiltIn_Print_Area_47_1" localSheetId="3">#REF!</definedName>
    <definedName name="_114Excel_BuiltIn_Print_Area_47_1" localSheetId="2">#REF!</definedName>
    <definedName name="_114Excel_BuiltIn_Print_Area_47_1" localSheetId="5">#REF!</definedName>
    <definedName name="_114Excel_BuiltIn_Print_Area_47_1" localSheetId="1">#REF!</definedName>
    <definedName name="_114Excel_BuiltIn_Print_Area_47_1" localSheetId="0">#REF!</definedName>
    <definedName name="_114Excel_BuiltIn_Print_Area_47_1" localSheetId="4">#REF!</definedName>
    <definedName name="_114Excel_BuiltIn_Print_Area_47_1">#REF!</definedName>
    <definedName name="_115Excel_BuiltIn_Print_Area_43_1" localSheetId="3">#REF!</definedName>
    <definedName name="_115Excel_BuiltIn_Print_Area_43_1" localSheetId="2">#REF!</definedName>
    <definedName name="_115Excel_BuiltIn_Print_Area_43_1" localSheetId="5">#REF!</definedName>
    <definedName name="_115Excel_BuiltIn_Print_Area_43_1" localSheetId="1">#REF!</definedName>
    <definedName name="_115Excel_BuiltIn_Print_Area_43_1" localSheetId="4">#REF!</definedName>
    <definedName name="_118Excel_BuiltIn_Print_Area_43_1" localSheetId="3">#REF!</definedName>
    <definedName name="_118Excel_BuiltIn_Print_Area_43_1" localSheetId="2">#REF!</definedName>
    <definedName name="_118Excel_BuiltIn_Print_Area_43_1" localSheetId="5">#REF!</definedName>
    <definedName name="_118Excel_BuiltIn_Print_Area_43_1" localSheetId="1">#REF!</definedName>
    <definedName name="_118Excel_BuiltIn_Print_Area_43_1" localSheetId="0">#REF!</definedName>
    <definedName name="_118Excel_BuiltIn_Print_Area_43_1" localSheetId="4">#REF!</definedName>
    <definedName name="_118Excel_BuiltIn_Print_Area_43_1">#REF!</definedName>
    <definedName name="_118Excel_BuiltIn_Print_Area_48_1" localSheetId="3">#REF!</definedName>
    <definedName name="_118Excel_BuiltIn_Print_Area_48_1" localSheetId="2">#REF!</definedName>
    <definedName name="_118Excel_BuiltIn_Print_Area_48_1" localSheetId="5">#REF!</definedName>
    <definedName name="_118Excel_BuiltIn_Print_Area_48_1" localSheetId="1">#REF!</definedName>
    <definedName name="_118Excel_BuiltIn_Print_Area_48_1" localSheetId="0">#REF!</definedName>
    <definedName name="_118Excel_BuiltIn_Print_Area_48_1" localSheetId="4">#REF!</definedName>
    <definedName name="_118Excel_BuiltIn_Print_Area_48_1">#REF!</definedName>
    <definedName name="_11Excel_BuiltIn_Print_Area_15_1">[3]MCP_H_LG_1!$A$1:$S$33</definedName>
    <definedName name="_120Excel_BuiltIn_Print_Area_44_1" localSheetId="3">#REF!</definedName>
    <definedName name="_120Excel_BuiltIn_Print_Area_44_1" localSheetId="2">#REF!</definedName>
    <definedName name="_120Excel_BuiltIn_Print_Area_44_1" localSheetId="5">#REF!</definedName>
    <definedName name="_120Excel_BuiltIn_Print_Area_44_1" localSheetId="1">#REF!</definedName>
    <definedName name="_120Excel_BuiltIn_Print_Area_44_1" localSheetId="4">#REF!</definedName>
    <definedName name="_122Excel_BuiltIn_Print_Area_49_1" localSheetId="3">#REF!</definedName>
    <definedName name="_122Excel_BuiltIn_Print_Area_49_1" localSheetId="2">#REF!</definedName>
    <definedName name="_122Excel_BuiltIn_Print_Area_49_1" localSheetId="5">#REF!</definedName>
    <definedName name="_122Excel_BuiltIn_Print_Area_49_1" localSheetId="1">#REF!</definedName>
    <definedName name="_122Excel_BuiltIn_Print_Area_49_1" localSheetId="0">#REF!</definedName>
    <definedName name="_122Excel_BuiltIn_Print_Area_49_1" localSheetId="4">#REF!</definedName>
    <definedName name="_122Excel_BuiltIn_Print_Area_49_1">#REF!</definedName>
    <definedName name="_123Excel_BuiltIn_Print_Area_44_1" localSheetId="3">#REF!</definedName>
    <definedName name="_123Excel_BuiltIn_Print_Area_44_1" localSheetId="2">#REF!</definedName>
    <definedName name="_123Excel_BuiltIn_Print_Area_44_1" localSheetId="5">#REF!</definedName>
    <definedName name="_123Excel_BuiltIn_Print_Area_44_1" localSheetId="1">#REF!</definedName>
    <definedName name="_123Excel_BuiltIn_Print_Area_44_1" localSheetId="0">#REF!</definedName>
    <definedName name="_123Excel_BuiltIn_Print_Area_44_1" localSheetId="4">#REF!</definedName>
    <definedName name="_123Excel_BuiltIn_Print_Area_44_1">#REF!</definedName>
    <definedName name="_125Excel_BuiltIn_Print_Area_45_1" localSheetId="3">[1]LMCP_AHU_GT_LGM_1!$A$1:$R$32</definedName>
    <definedName name="_125Excel_BuiltIn_Print_Area_45_1" localSheetId="2">[1]LMCP_AHU_GT_LGM_1!$A$1:$R$32</definedName>
    <definedName name="_125Excel_BuiltIn_Print_Area_45_1" localSheetId="5">[1]LMCP_AHU_GT_LGM_1!$A$1:$R$32</definedName>
    <definedName name="_125Excel_BuiltIn_Print_Area_45_1" localSheetId="1">[1]LMCP_AHU_GT_LGM_1!$A$1:$R$32</definedName>
    <definedName name="_125Excel_BuiltIn_Print_Area_45_1" localSheetId="4">[1]LMCP_AHU_GT_LGM_1!$A$1:$R$32</definedName>
    <definedName name="_126Excel_BuiltIn_Print_Area_5_1" localSheetId="3">#REF!</definedName>
    <definedName name="_126Excel_BuiltIn_Print_Area_5_1" localSheetId="2">#REF!</definedName>
    <definedName name="_126Excel_BuiltIn_Print_Area_5_1" localSheetId="5">#REF!</definedName>
    <definedName name="_126Excel_BuiltIn_Print_Area_5_1" localSheetId="1">#REF!</definedName>
    <definedName name="_126Excel_BuiltIn_Print_Area_5_1" localSheetId="0">#REF!</definedName>
    <definedName name="_126Excel_BuiltIn_Print_Area_5_1" localSheetId="4">#REF!</definedName>
    <definedName name="_126Excel_BuiltIn_Print_Area_5_1">#REF!</definedName>
    <definedName name="_128Excel_BuiltIn_Print_Area_45_1">[2]LMCP_AHU_GT_LGM_1!$A$1:$R$32</definedName>
    <definedName name="_12Excel_BuiltIn_Print_Area_101_1" localSheetId="3">#REF!</definedName>
    <definedName name="_12Excel_BuiltIn_Print_Area_101_1" localSheetId="2">#REF!</definedName>
    <definedName name="_12Excel_BuiltIn_Print_Area_101_1" localSheetId="5">#REF!</definedName>
    <definedName name="_12Excel_BuiltIn_Print_Area_101_1" localSheetId="1">#REF!</definedName>
    <definedName name="_12Excel_BuiltIn_Print_Area_101_1" localSheetId="0">#REF!</definedName>
    <definedName name="_12Excel_BuiltIn_Print_Area_101_1" localSheetId="4">#REF!</definedName>
    <definedName name="_12Excel_BuiltIn_Print_Area_101_1">#REF!</definedName>
    <definedName name="_12Excel_BuiltIn_Print_Area_16_1">[3]LMCP_AHU_H_LG_1!$A$1:$S$33</definedName>
    <definedName name="_130Excel_BuiltIn_Print_Area_46_1" localSheetId="3">#REF!</definedName>
    <definedName name="_130Excel_BuiltIn_Print_Area_46_1" localSheetId="2">#REF!</definedName>
    <definedName name="_130Excel_BuiltIn_Print_Area_46_1" localSheetId="5">#REF!</definedName>
    <definedName name="_130Excel_BuiltIn_Print_Area_46_1" localSheetId="1">#REF!</definedName>
    <definedName name="_130Excel_BuiltIn_Print_Area_46_1" localSheetId="4">#REF!</definedName>
    <definedName name="_130Excel_BuiltIn_Print_Area_54_1">[4]MCP_H_5_1!$A$1:$S$33</definedName>
    <definedName name="_133Excel_BuiltIn_Print_Area_46_1" localSheetId="3">#REF!</definedName>
    <definedName name="_133Excel_BuiltIn_Print_Area_46_1" localSheetId="2">#REF!</definedName>
    <definedName name="_133Excel_BuiltIn_Print_Area_46_1" localSheetId="5">#REF!</definedName>
    <definedName name="_133Excel_BuiltIn_Print_Area_46_1" localSheetId="1">#REF!</definedName>
    <definedName name="_133Excel_BuiltIn_Print_Area_46_1" localSheetId="0">#REF!</definedName>
    <definedName name="_133Excel_BuiltIn_Print_Area_46_1" localSheetId="4">#REF!</definedName>
    <definedName name="_133Excel_BuiltIn_Print_Area_46_1">#REF!</definedName>
    <definedName name="_134Excel_BuiltIn_Print_Area_55_1">[4]LMCP_PAU_H_5_1!$A$1:$S$33</definedName>
    <definedName name="_135Excel_BuiltIn_Print_Area_47_1" localSheetId="3">#REF!</definedName>
    <definedName name="_135Excel_BuiltIn_Print_Area_47_1" localSheetId="2">#REF!</definedName>
    <definedName name="_135Excel_BuiltIn_Print_Area_47_1" localSheetId="5">#REF!</definedName>
    <definedName name="_135Excel_BuiltIn_Print_Area_47_1" localSheetId="1">#REF!</definedName>
    <definedName name="_135Excel_BuiltIn_Print_Area_47_1" localSheetId="4">#REF!</definedName>
    <definedName name="_138Excel_BuiltIn_Print_Area_47_1" localSheetId="3">#REF!</definedName>
    <definedName name="_138Excel_BuiltIn_Print_Area_47_1" localSheetId="2">#REF!</definedName>
    <definedName name="_138Excel_BuiltIn_Print_Area_47_1" localSheetId="5">#REF!</definedName>
    <definedName name="_138Excel_BuiltIn_Print_Area_47_1" localSheetId="1">#REF!</definedName>
    <definedName name="_138Excel_BuiltIn_Print_Area_47_1" localSheetId="0">#REF!</definedName>
    <definedName name="_138Excel_BuiltIn_Print_Area_47_1" localSheetId="4">#REF!</definedName>
    <definedName name="_138Excel_BuiltIn_Print_Area_47_1">#REF!</definedName>
    <definedName name="_138Excel_BuiltIn_Print_Area_56_1">[4]LMCP_AHU_H_4_1!$A$1:$S$33</definedName>
    <definedName name="_13Excel_BuiltIn_Print_Area_17_1" localSheetId="3">#REF!</definedName>
    <definedName name="_13Excel_BuiltIn_Print_Area_17_1" localSheetId="2">#REF!</definedName>
    <definedName name="_13Excel_BuiltIn_Print_Area_17_1" localSheetId="5">#REF!</definedName>
    <definedName name="_13Excel_BuiltIn_Print_Area_17_1" localSheetId="1">#REF!</definedName>
    <definedName name="_13Excel_BuiltIn_Print_Area_17_1" localSheetId="0">#REF!</definedName>
    <definedName name="_13Excel_BuiltIn_Print_Area_17_1" localSheetId="4">#REF!</definedName>
    <definedName name="_13Excel_BuiltIn_Print_Area_17_1">#REF!</definedName>
    <definedName name="_140Excel_BuiltIn_Print_Area_48_1" localSheetId="3">#REF!</definedName>
    <definedName name="_140Excel_BuiltIn_Print_Area_48_1" localSheetId="2">#REF!</definedName>
    <definedName name="_140Excel_BuiltIn_Print_Area_48_1" localSheetId="5">#REF!</definedName>
    <definedName name="_140Excel_BuiltIn_Print_Area_48_1" localSheetId="1">#REF!</definedName>
    <definedName name="_140Excel_BuiltIn_Print_Area_48_1" localSheetId="4">#REF!</definedName>
    <definedName name="_142Excel_BuiltIn_Print_Area_57_1">[4]LMCP_KEF_H_LGM_1!$A$1:$S$33</definedName>
    <definedName name="_143Excel_BuiltIn_Print_Area_48_1" localSheetId="3">#REF!</definedName>
    <definedName name="_143Excel_BuiltIn_Print_Area_48_1" localSheetId="2">#REF!</definedName>
    <definedName name="_143Excel_BuiltIn_Print_Area_48_1" localSheetId="5">#REF!</definedName>
    <definedName name="_143Excel_BuiltIn_Print_Area_48_1" localSheetId="1">#REF!</definedName>
    <definedName name="_143Excel_BuiltIn_Print_Area_48_1" localSheetId="0">#REF!</definedName>
    <definedName name="_143Excel_BuiltIn_Print_Area_48_1" localSheetId="4">#REF!</definedName>
    <definedName name="_143Excel_BuiltIn_Print_Area_48_1">#REF!</definedName>
    <definedName name="_145Excel_BuiltIn_Print_Area_49_1" localSheetId="3">#REF!</definedName>
    <definedName name="_145Excel_BuiltIn_Print_Area_49_1" localSheetId="2">#REF!</definedName>
    <definedName name="_145Excel_BuiltIn_Print_Area_49_1" localSheetId="5">#REF!</definedName>
    <definedName name="_145Excel_BuiltIn_Print_Area_49_1" localSheetId="1">#REF!</definedName>
    <definedName name="_145Excel_BuiltIn_Print_Area_49_1" localSheetId="4">#REF!</definedName>
    <definedName name="_146Excel_BuiltIn_Print_Area_58_1" localSheetId="3">#REF!</definedName>
    <definedName name="_146Excel_BuiltIn_Print_Area_58_1" localSheetId="2">#REF!</definedName>
    <definedName name="_146Excel_BuiltIn_Print_Area_58_1" localSheetId="5">#REF!</definedName>
    <definedName name="_146Excel_BuiltIn_Print_Area_58_1" localSheetId="1">#REF!</definedName>
    <definedName name="_146Excel_BuiltIn_Print_Area_58_1" localSheetId="0">#REF!</definedName>
    <definedName name="_146Excel_BuiltIn_Print_Area_58_1" localSheetId="4">#REF!</definedName>
    <definedName name="_146Excel_BuiltIn_Print_Area_58_1">#REF!</definedName>
    <definedName name="_147Excel_BuiltIn_Print_Area_59_1" localSheetId="3">#REF!</definedName>
    <definedName name="_147Excel_BuiltIn_Print_Area_59_1" localSheetId="2">#REF!</definedName>
    <definedName name="_147Excel_BuiltIn_Print_Area_59_1" localSheetId="5">#REF!</definedName>
    <definedName name="_147Excel_BuiltIn_Print_Area_59_1" localSheetId="1">#REF!</definedName>
    <definedName name="_147Excel_BuiltIn_Print_Area_59_1" localSheetId="0">#REF!</definedName>
    <definedName name="_147Excel_BuiltIn_Print_Area_59_1" localSheetId="4">#REF!</definedName>
    <definedName name="_147Excel_BuiltIn_Print_Area_59_1">#REF!</definedName>
    <definedName name="_148Excel_BuiltIn_Print_Area_49_1" localSheetId="3">#REF!</definedName>
    <definedName name="_148Excel_BuiltIn_Print_Area_49_1" localSheetId="2">#REF!</definedName>
    <definedName name="_148Excel_BuiltIn_Print_Area_49_1" localSheetId="5">#REF!</definedName>
    <definedName name="_148Excel_BuiltIn_Print_Area_49_1" localSheetId="1">#REF!</definedName>
    <definedName name="_148Excel_BuiltIn_Print_Area_49_1" localSheetId="0">#REF!</definedName>
    <definedName name="_148Excel_BuiltIn_Print_Area_49_1" localSheetId="4">#REF!</definedName>
    <definedName name="_148Excel_BuiltIn_Print_Area_49_1">#REF!</definedName>
    <definedName name="_14Excel_BuiltIn_Print_Area_18_1" localSheetId="3">#REF!</definedName>
    <definedName name="_14Excel_BuiltIn_Print_Area_18_1" localSheetId="2">#REF!</definedName>
    <definedName name="_14Excel_BuiltIn_Print_Area_18_1" localSheetId="5">#REF!</definedName>
    <definedName name="_14Excel_BuiltIn_Print_Area_18_1" localSheetId="1">#REF!</definedName>
    <definedName name="_14Excel_BuiltIn_Print_Area_18_1" localSheetId="0">#REF!</definedName>
    <definedName name="_14Excel_BuiltIn_Print_Area_18_1" localSheetId="4">#REF!</definedName>
    <definedName name="_14Excel_BuiltIn_Print_Area_18_1">#REF!</definedName>
    <definedName name="_150Excel_BuiltIn_Print_Area_5_1" localSheetId="3">#REF!</definedName>
    <definedName name="_150Excel_BuiltIn_Print_Area_5_1" localSheetId="2">#REF!</definedName>
    <definedName name="_150Excel_BuiltIn_Print_Area_5_1" localSheetId="5">#REF!</definedName>
    <definedName name="_150Excel_BuiltIn_Print_Area_5_1" localSheetId="1">#REF!</definedName>
    <definedName name="_150Excel_BuiltIn_Print_Area_5_1" localSheetId="4">#REF!</definedName>
    <definedName name="_151Excel_BuiltIn_Print_Area_6_1" localSheetId="3">#REF!</definedName>
    <definedName name="_151Excel_BuiltIn_Print_Area_6_1" localSheetId="2">#REF!</definedName>
    <definedName name="_151Excel_BuiltIn_Print_Area_6_1" localSheetId="5">#REF!</definedName>
    <definedName name="_151Excel_BuiltIn_Print_Area_6_1" localSheetId="1">#REF!</definedName>
    <definedName name="_151Excel_BuiltIn_Print_Area_6_1" localSheetId="0">#REF!</definedName>
    <definedName name="_151Excel_BuiltIn_Print_Area_6_1" localSheetId="4">#REF!</definedName>
    <definedName name="_151Excel_BuiltIn_Print_Area_6_1">#REF!</definedName>
    <definedName name="_152Excel_BuiltIn_Print_Area_60_1" localSheetId="3">#REF!</definedName>
    <definedName name="_152Excel_BuiltIn_Print_Area_60_1" localSheetId="2">#REF!</definedName>
    <definedName name="_152Excel_BuiltIn_Print_Area_60_1" localSheetId="5">#REF!</definedName>
    <definedName name="_152Excel_BuiltIn_Print_Area_60_1" localSheetId="1">#REF!</definedName>
    <definedName name="_152Excel_BuiltIn_Print_Area_60_1" localSheetId="0">#REF!</definedName>
    <definedName name="_152Excel_BuiltIn_Print_Area_60_1" localSheetId="4">#REF!</definedName>
    <definedName name="_152Excel_BuiltIn_Print_Area_60_1">#REF!</definedName>
    <definedName name="_153Excel_BuiltIn_Print_Area_5_1" localSheetId="3">#REF!</definedName>
    <definedName name="_153Excel_BuiltIn_Print_Area_5_1" localSheetId="2">#REF!</definedName>
    <definedName name="_153Excel_BuiltIn_Print_Area_5_1" localSheetId="5">#REF!</definedName>
    <definedName name="_153Excel_BuiltIn_Print_Area_5_1" localSheetId="1">#REF!</definedName>
    <definedName name="_153Excel_BuiltIn_Print_Area_5_1" localSheetId="0">#REF!</definedName>
    <definedName name="_153Excel_BuiltIn_Print_Area_5_1" localSheetId="4">#REF!</definedName>
    <definedName name="_153Excel_BuiltIn_Print_Area_5_1">#REF!</definedName>
    <definedName name="_153Excel_BuiltIn_Print_Area_61_1" localSheetId="3">#REF!</definedName>
    <definedName name="_153Excel_BuiltIn_Print_Area_61_1" localSheetId="2">#REF!</definedName>
    <definedName name="_153Excel_BuiltIn_Print_Area_61_1" localSheetId="5">#REF!</definedName>
    <definedName name="_153Excel_BuiltIn_Print_Area_61_1" localSheetId="1">#REF!</definedName>
    <definedName name="_153Excel_BuiltIn_Print_Area_61_1" localSheetId="0">#REF!</definedName>
    <definedName name="_153Excel_BuiltIn_Print_Area_61_1" localSheetId="4">#REF!</definedName>
    <definedName name="_153Excel_BuiltIn_Print_Area_61_1">#REF!</definedName>
    <definedName name="_154Excel_BuiltIn_Print_Area_62_1" localSheetId="3">#REF!</definedName>
    <definedName name="_154Excel_BuiltIn_Print_Area_62_1" localSheetId="2">#REF!</definedName>
    <definedName name="_154Excel_BuiltIn_Print_Area_62_1" localSheetId="5">#REF!</definedName>
    <definedName name="_154Excel_BuiltIn_Print_Area_62_1" localSheetId="1">#REF!</definedName>
    <definedName name="_154Excel_BuiltIn_Print_Area_62_1" localSheetId="0">#REF!</definedName>
    <definedName name="_154Excel_BuiltIn_Print_Area_62_1" localSheetId="4">#REF!</definedName>
    <definedName name="_154Excel_BuiltIn_Print_Area_62_1">#REF!</definedName>
    <definedName name="_155Excel_BuiltIn_Print_Area_54_1" localSheetId="3">[5]MCP_H_5_1!$A$1:$S$33</definedName>
    <definedName name="_155Excel_BuiltIn_Print_Area_54_1" localSheetId="2">[5]MCP_H_5_1!$A$1:$S$33</definedName>
    <definedName name="_155Excel_BuiltIn_Print_Area_54_1" localSheetId="5">[5]MCP_H_5_1!$A$1:$S$33</definedName>
    <definedName name="_155Excel_BuiltIn_Print_Area_54_1" localSheetId="1">[5]MCP_H_5_1!$A$1:$S$33</definedName>
    <definedName name="_155Excel_BuiltIn_Print_Area_54_1" localSheetId="4">[5]MCP_H_5_1!$A$1:$S$33</definedName>
    <definedName name="_155Excel_BuiltIn_Print_Area_63_1" localSheetId="3">#REF!</definedName>
    <definedName name="_155Excel_BuiltIn_Print_Area_63_1" localSheetId="2">#REF!</definedName>
    <definedName name="_155Excel_BuiltIn_Print_Area_63_1" localSheetId="5">#REF!</definedName>
    <definedName name="_155Excel_BuiltIn_Print_Area_63_1" localSheetId="1">#REF!</definedName>
    <definedName name="_155Excel_BuiltIn_Print_Area_63_1" localSheetId="0">#REF!</definedName>
    <definedName name="_155Excel_BuiltIn_Print_Area_63_1" localSheetId="4">#REF!</definedName>
    <definedName name="_155Excel_BuiltIn_Print_Area_63_1">#REF!</definedName>
    <definedName name="_156Excel_BuiltIn_Print_Area_64_1">'[6]LMCP_H-TX_LG'!$A$1:$R$33</definedName>
    <definedName name="_158Excel_BuiltIn_Print_Area_54_1">[4]MCP_H_5_1!$A$1:$S$33</definedName>
    <definedName name="_15Excel_BuiltIn_Print_Area_101_1" localSheetId="3">#REF!</definedName>
    <definedName name="_15Excel_BuiltIn_Print_Area_101_1" localSheetId="2">#REF!</definedName>
    <definedName name="_15Excel_BuiltIn_Print_Area_101_1" localSheetId="5">#REF!</definedName>
    <definedName name="_15Excel_BuiltIn_Print_Area_101_1" localSheetId="1">#REF!</definedName>
    <definedName name="_15Excel_BuiltIn_Print_Area_101_1" localSheetId="0">#REF!</definedName>
    <definedName name="_15Excel_BuiltIn_Print_Area_101_1" localSheetId="4">#REF!</definedName>
    <definedName name="_15Excel_BuiltIn_Print_Area_101_1">#REF!</definedName>
    <definedName name="_15Excel_BuiltIn_Print_Area_19_1" localSheetId="3">#REF!</definedName>
    <definedName name="_15Excel_BuiltIn_Print_Area_19_1" localSheetId="2">#REF!</definedName>
    <definedName name="_15Excel_BuiltIn_Print_Area_19_1" localSheetId="5">#REF!</definedName>
    <definedName name="_15Excel_BuiltIn_Print_Area_19_1" localSheetId="1">#REF!</definedName>
    <definedName name="_15Excel_BuiltIn_Print_Area_19_1" localSheetId="0">#REF!</definedName>
    <definedName name="_15Excel_BuiltIn_Print_Area_19_1" localSheetId="4">#REF!</definedName>
    <definedName name="_15Excel_BuiltIn_Print_Area_19_1">#REF!</definedName>
    <definedName name="_160Excel_BuiltIn_Print_Area_55_1" localSheetId="3">[5]LMCP_PAU_H_5_1!$A$1:$S$33</definedName>
    <definedName name="_160Excel_BuiltIn_Print_Area_55_1" localSheetId="2">[5]LMCP_PAU_H_5_1!$A$1:$S$33</definedName>
    <definedName name="_160Excel_BuiltIn_Print_Area_55_1" localSheetId="5">[5]LMCP_PAU_H_5_1!$A$1:$S$33</definedName>
    <definedName name="_160Excel_BuiltIn_Print_Area_55_1" localSheetId="1">[5]LMCP_PAU_H_5_1!$A$1:$S$33</definedName>
    <definedName name="_160Excel_BuiltIn_Print_Area_55_1" localSheetId="4">[5]LMCP_PAU_H_5_1!$A$1:$S$33</definedName>
    <definedName name="_160Excel_BuiltIn_Print_Area_65_1" localSheetId="3">#REF!</definedName>
    <definedName name="_160Excel_BuiltIn_Print_Area_65_1" localSheetId="2">#REF!</definedName>
    <definedName name="_160Excel_BuiltIn_Print_Area_65_1" localSheetId="5">#REF!</definedName>
    <definedName name="_160Excel_BuiltIn_Print_Area_65_1" localSheetId="1">#REF!</definedName>
    <definedName name="_160Excel_BuiltIn_Print_Area_65_1" localSheetId="0">#REF!</definedName>
    <definedName name="_160Excel_BuiltIn_Print_Area_65_1" localSheetId="4">#REF!</definedName>
    <definedName name="_160Excel_BuiltIn_Print_Area_65_1">#REF!</definedName>
    <definedName name="_163Excel_BuiltIn_Print_Area_55_1">[4]LMCP_PAU_H_5_1!$A$1:$S$33</definedName>
    <definedName name="_164Excel_BuiltIn_Print_Area_66_1" localSheetId="3">#REF!</definedName>
    <definedName name="_164Excel_BuiltIn_Print_Area_66_1" localSheetId="2">#REF!</definedName>
    <definedName name="_164Excel_BuiltIn_Print_Area_66_1" localSheetId="5">#REF!</definedName>
    <definedName name="_164Excel_BuiltIn_Print_Area_66_1" localSheetId="1">#REF!</definedName>
    <definedName name="_164Excel_BuiltIn_Print_Area_66_1" localSheetId="0">#REF!</definedName>
    <definedName name="_164Excel_BuiltIn_Print_Area_66_1" localSheetId="4">#REF!</definedName>
    <definedName name="_164Excel_BuiltIn_Print_Area_66_1">#REF!</definedName>
    <definedName name="_165Excel_BuiltIn_Print_Area_56_1" localSheetId="3">[5]LMCP_AHU_H_4_1!$A$1:$S$33</definedName>
    <definedName name="_165Excel_BuiltIn_Print_Area_56_1" localSheetId="2">[5]LMCP_AHU_H_4_1!$A$1:$S$33</definedName>
    <definedName name="_165Excel_BuiltIn_Print_Area_56_1" localSheetId="5">[5]LMCP_AHU_H_4_1!$A$1:$S$33</definedName>
    <definedName name="_165Excel_BuiltIn_Print_Area_56_1" localSheetId="1">[5]LMCP_AHU_H_4_1!$A$1:$S$33</definedName>
    <definedName name="_165Excel_BuiltIn_Print_Area_56_1" localSheetId="4">[5]LMCP_AHU_H_4_1!$A$1:$S$33</definedName>
    <definedName name="_168Excel_BuiltIn_Print_Area_56_1">[4]LMCP_AHU_H_4_1!$A$1:$S$33</definedName>
    <definedName name="_168Excel_BuiltIn_Print_Area_67_1" localSheetId="3">#REF!</definedName>
    <definedName name="_168Excel_BuiltIn_Print_Area_67_1" localSheetId="2">#REF!</definedName>
    <definedName name="_168Excel_BuiltIn_Print_Area_67_1" localSheetId="5">#REF!</definedName>
    <definedName name="_168Excel_BuiltIn_Print_Area_67_1" localSheetId="1">#REF!</definedName>
    <definedName name="_168Excel_BuiltIn_Print_Area_67_1" localSheetId="0">#REF!</definedName>
    <definedName name="_168Excel_BuiltIn_Print_Area_67_1" localSheetId="4">#REF!</definedName>
    <definedName name="_168Excel_BuiltIn_Print_Area_67_1">#REF!</definedName>
    <definedName name="_16Excel_BuiltIn_Print_Area_102_1" localSheetId="3">#REF!</definedName>
    <definedName name="_16Excel_BuiltIn_Print_Area_102_1" localSheetId="2">#REF!</definedName>
    <definedName name="_16Excel_BuiltIn_Print_Area_102_1" localSheetId="5">#REF!</definedName>
    <definedName name="_16Excel_BuiltIn_Print_Area_102_1" localSheetId="1">#REF!</definedName>
    <definedName name="_16Excel_BuiltIn_Print_Area_102_1" localSheetId="0">#REF!</definedName>
    <definedName name="_16Excel_BuiltIn_Print_Area_102_1" localSheetId="4">#REF!</definedName>
    <definedName name="_16Excel_BuiltIn_Print_Area_102_1">#REF!</definedName>
    <definedName name="_16Excel_BuiltIn_Print_Area_23_1">'[3]LMCP_TEP_HA_B2_1 _ 1a'!$A$1:$S$33</definedName>
    <definedName name="_170Excel_BuiltIn_Print_Area_57_1" localSheetId="3">[5]LMCP_KEF_H_LGM_1!$A$1:$S$33</definedName>
    <definedName name="_170Excel_BuiltIn_Print_Area_57_1" localSheetId="2">[5]LMCP_KEF_H_LGM_1!$A$1:$S$33</definedName>
    <definedName name="_170Excel_BuiltIn_Print_Area_57_1" localSheetId="5">[5]LMCP_KEF_H_LGM_1!$A$1:$S$33</definedName>
    <definedName name="_170Excel_BuiltIn_Print_Area_57_1" localSheetId="1">[5]LMCP_KEF_H_LGM_1!$A$1:$S$33</definedName>
    <definedName name="_170Excel_BuiltIn_Print_Area_57_1" localSheetId="4">[5]LMCP_KEF_H_LGM_1!$A$1:$S$33</definedName>
    <definedName name="_172Excel_BuiltIn_Print_Area_68_1">[7]SB_MC_LG_1!$A$1:$R$32</definedName>
    <definedName name="_173Excel_BuiltIn_Print_Area_57_1">[4]LMCP_KEF_H_LGM_1!$A$1:$S$33</definedName>
    <definedName name="_175Excel_BuiltIn_Print_Area_58_1" localSheetId="3">#REF!</definedName>
    <definedName name="_175Excel_BuiltIn_Print_Area_58_1" localSheetId="2">#REF!</definedName>
    <definedName name="_175Excel_BuiltIn_Print_Area_58_1" localSheetId="5">#REF!</definedName>
    <definedName name="_175Excel_BuiltIn_Print_Area_58_1" localSheetId="1">#REF!</definedName>
    <definedName name="_175Excel_BuiltIn_Print_Area_58_1" localSheetId="4">#REF!</definedName>
    <definedName name="_176Excel_BuiltIn_Print_Area_69_1" localSheetId="3">#REF!</definedName>
    <definedName name="_176Excel_BuiltIn_Print_Area_69_1" localSheetId="2">#REF!</definedName>
    <definedName name="_176Excel_BuiltIn_Print_Area_69_1" localSheetId="5">#REF!</definedName>
    <definedName name="_176Excel_BuiltIn_Print_Area_69_1" localSheetId="1">#REF!</definedName>
    <definedName name="_176Excel_BuiltIn_Print_Area_69_1" localSheetId="0">#REF!</definedName>
    <definedName name="_176Excel_BuiltIn_Print_Area_69_1" localSheetId="4">#REF!</definedName>
    <definedName name="_176Excel_BuiltIn_Print_Area_69_1">#REF!</definedName>
    <definedName name="_178Excel_BuiltIn_Print_Area_58_1" localSheetId="3">#REF!</definedName>
    <definedName name="_178Excel_BuiltIn_Print_Area_58_1" localSheetId="2">#REF!</definedName>
    <definedName name="_178Excel_BuiltIn_Print_Area_58_1" localSheetId="5">#REF!</definedName>
    <definedName name="_178Excel_BuiltIn_Print_Area_58_1" localSheetId="1">#REF!</definedName>
    <definedName name="_178Excel_BuiltIn_Print_Area_58_1" localSheetId="0">#REF!</definedName>
    <definedName name="_178Excel_BuiltIn_Print_Area_58_1" localSheetId="4">#REF!</definedName>
    <definedName name="_178Excel_BuiltIn_Print_Area_58_1">#REF!</definedName>
    <definedName name="_179Excel_BuiltIn_Print_Area_59_1" localSheetId="3">#REF!</definedName>
    <definedName name="_179Excel_BuiltIn_Print_Area_59_1" localSheetId="2">#REF!</definedName>
    <definedName name="_179Excel_BuiltIn_Print_Area_59_1" localSheetId="5">#REF!</definedName>
    <definedName name="_179Excel_BuiltIn_Print_Area_59_1" localSheetId="1">#REF!</definedName>
    <definedName name="_179Excel_BuiltIn_Print_Area_59_1" localSheetId="0">#REF!</definedName>
    <definedName name="_179Excel_BuiltIn_Print_Area_59_1" localSheetId="4">#REF!</definedName>
    <definedName name="_179Excel_BuiltIn_Print_Area_59_1">#REF!</definedName>
    <definedName name="_17Excel_BuiltIn_Print_Area_102_1" localSheetId="3">#REF!</definedName>
    <definedName name="_17Excel_BuiltIn_Print_Area_102_1" localSheetId="2">#REF!</definedName>
    <definedName name="_17Excel_BuiltIn_Print_Area_102_1" localSheetId="5">#REF!</definedName>
    <definedName name="_17Excel_BuiltIn_Print_Area_102_1" localSheetId="1">#REF!</definedName>
    <definedName name="_17Excel_BuiltIn_Print_Area_102_1" localSheetId="4">#REF!</definedName>
    <definedName name="_17Excel_BuiltIn_Print_Area_24_1">'[3]LMCP_KEP_HA_B2_1 _ 1a'!$A$1:$S$33</definedName>
    <definedName name="_180Excel_BuiltIn_Print_Area_7_1">[8]LMCP_CEF_LG_1!$A$1:$R$34</definedName>
    <definedName name="_181Excel_BuiltIn_Print_Area_6_1" localSheetId="3">#REF!</definedName>
    <definedName name="_181Excel_BuiltIn_Print_Area_6_1" localSheetId="2">#REF!</definedName>
    <definedName name="_181Excel_BuiltIn_Print_Area_6_1" localSheetId="5">#REF!</definedName>
    <definedName name="_181Excel_BuiltIn_Print_Area_6_1" localSheetId="1">#REF!</definedName>
    <definedName name="_181Excel_BuiltIn_Print_Area_6_1" localSheetId="4">#REF!</definedName>
    <definedName name="_184Excel_BuiltIn_Print_Area_6_1" localSheetId="3">#REF!</definedName>
    <definedName name="_184Excel_BuiltIn_Print_Area_6_1" localSheetId="2">#REF!</definedName>
    <definedName name="_184Excel_BuiltIn_Print_Area_6_1" localSheetId="5">#REF!</definedName>
    <definedName name="_184Excel_BuiltIn_Print_Area_6_1" localSheetId="1">#REF!</definedName>
    <definedName name="_184Excel_BuiltIn_Print_Area_6_1" localSheetId="0">#REF!</definedName>
    <definedName name="_184Excel_BuiltIn_Print_Area_6_1" localSheetId="4">#REF!</definedName>
    <definedName name="_184Excel_BuiltIn_Print_Area_6_1">#REF!</definedName>
    <definedName name="_184Excel_BuiltIn_Print_Area_70_1" localSheetId="3">#REF!</definedName>
    <definedName name="_184Excel_BuiltIn_Print_Area_70_1" localSheetId="2">#REF!</definedName>
    <definedName name="_184Excel_BuiltIn_Print_Area_70_1" localSheetId="5">#REF!</definedName>
    <definedName name="_184Excel_BuiltIn_Print_Area_70_1" localSheetId="1">#REF!</definedName>
    <definedName name="_184Excel_BuiltIn_Print_Area_70_1" localSheetId="0">#REF!</definedName>
    <definedName name="_184Excel_BuiltIn_Print_Area_70_1" localSheetId="4">#REF!</definedName>
    <definedName name="_184Excel_BuiltIn_Print_Area_70_1">#REF!</definedName>
    <definedName name="_185Excel_BuiltIn_Print_Area_60_1" localSheetId="3">#REF!</definedName>
    <definedName name="_185Excel_BuiltIn_Print_Area_60_1" localSheetId="2">#REF!</definedName>
    <definedName name="_185Excel_BuiltIn_Print_Area_60_1" localSheetId="5">#REF!</definedName>
    <definedName name="_185Excel_BuiltIn_Print_Area_60_1" localSheetId="1">#REF!</definedName>
    <definedName name="_185Excel_BuiltIn_Print_Area_60_1" localSheetId="0">#REF!</definedName>
    <definedName name="_185Excel_BuiltIn_Print_Area_60_1" localSheetId="4">#REF!</definedName>
    <definedName name="_185Excel_BuiltIn_Print_Area_60_1">#REF!</definedName>
    <definedName name="_185Excel_BuiltIn_Print_Area_71_1" localSheetId="3">#REF!</definedName>
    <definedName name="_185Excel_BuiltIn_Print_Area_71_1" localSheetId="2">#REF!</definedName>
    <definedName name="_185Excel_BuiltIn_Print_Area_71_1" localSheetId="5">#REF!</definedName>
    <definedName name="_185Excel_BuiltIn_Print_Area_71_1" localSheetId="1">#REF!</definedName>
    <definedName name="_185Excel_BuiltIn_Print_Area_71_1" localSheetId="0">#REF!</definedName>
    <definedName name="_185Excel_BuiltIn_Print_Area_71_1" localSheetId="4">#REF!</definedName>
    <definedName name="_185Excel_BuiltIn_Print_Area_71_1">#REF!</definedName>
    <definedName name="_186Excel_BuiltIn_Print_Area_61_1" localSheetId="3">#REF!</definedName>
    <definedName name="_186Excel_BuiltIn_Print_Area_61_1" localSheetId="2">#REF!</definedName>
    <definedName name="_186Excel_BuiltIn_Print_Area_61_1" localSheetId="5">#REF!</definedName>
    <definedName name="_186Excel_BuiltIn_Print_Area_61_1" localSheetId="1">#REF!</definedName>
    <definedName name="_186Excel_BuiltIn_Print_Area_61_1" localSheetId="0">#REF!</definedName>
    <definedName name="_186Excel_BuiltIn_Print_Area_61_1" localSheetId="4">#REF!</definedName>
    <definedName name="_186Excel_BuiltIn_Print_Area_61_1">#REF!</definedName>
    <definedName name="_186Excel_BuiltIn_Print_Area_72_1" localSheetId="3">#REF!</definedName>
    <definedName name="_186Excel_BuiltIn_Print_Area_72_1" localSheetId="2">#REF!</definedName>
    <definedName name="_186Excel_BuiltIn_Print_Area_72_1" localSheetId="5">#REF!</definedName>
    <definedName name="_186Excel_BuiltIn_Print_Area_72_1" localSheetId="1">#REF!</definedName>
    <definedName name="_186Excel_BuiltIn_Print_Area_72_1" localSheetId="0">#REF!</definedName>
    <definedName name="_186Excel_BuiltIn_Print_Area_72_1" localSheetId="4">#REF!</definedName>
    <definedName name="_186Excel_BuiltIn_Print_Area_72_1">#REF!</definedName>
    <definedName name="_187Excel_BuiltIn_Print_Area_62_1" localSheetId="3">#REF!</definedName>
    <definedName name="_187Excel_BuiltIn_Print_Area_62_1" localSheetId="2">#REF!</definedName>
    <definedName name="_187Excel_BuiltIn_Print_Area_62_1" localSheetId="5">#REF!</definedName>
    <definedName name="_187Excel_BuiltIn_Print_Area_62_1" localSheetId="1">#REF!</definedName>
    <definedName name="_187Excel_BuiltIn_Print_Area_62_1" localSheetId="0">#REF!</definedName>
    <definedName name="_187Excel_BuiltIn_Print_Area_62_1" localSheetId="4">#REF!</definedName>
    <definedName name="_187Excel_BuiltIn_Print_Area_62_1">#REF!</definedName>
    <definedName name="_187Excel_BuiltIn_Print_Area_73_1" localSheetId="3">#REF!</definedName>
    <definedName name="_187Excel_BuiltIn_Print_Area_73_1" localSheetId="2">#REF!</definedName>
    <definedName name="_187Excel_BuiltIn_Print_Area_73_1" localSheetId="5">#REF!</definedName>
    <definedName name="_187Excel_BuiltIn_Print_Area_73_1" localSheetId="1">#REF!</definedName>
    <definedName name="_187Excel_BuiltIn_Print_Area_73_1" localSheetId="0">#REF!</definedName>
    <definedName name="_187Excel_BuiltIn_Print_Area_73_1" localSheetId="4">#REF!</definedName>
    <definedName name="_187Excel_BuiltIn_Print_Area_73_1">#REF!</definedName>
    <definedName name="_188Excel_BuiltIn_Print_Area_63_1" localSheetId="3">#REF!</definedName>
    <definedName name="_188Excel_BuiltIn_Print_Area_63_1" localSheetId="2">#REF!</definedName>
    <definedName name="_188Excel_BuiltIn_Print_Area_63_1" localSheetId="5">#REF!</definedName>
    <definedName name="_188Excel_BuiltIn_Print_Area_63_1" localSheetId="1">#REF!</definedName>
    <definedName name="_188Excel_BuiltIn_Print_Area_63_1" localSheetId="0">#REF!</definedName>
    <definedName name="_188Excel_BuiltIn_Print_Area_63_1" localSheetId="4">#REF!</definedName>
    <definedName name="_188Excel_BuiltIn_Print_Area_63_1">#REF!</definedName>
    <definedName name="_188Excel_BuiltIn_Print_Area_74_1" localSheetId="3">#REF!</definedName>
    <definedName name="_188Excel_BuiltIn_Print_Area_74_1" localSheetId="2">#REF!</definedName>
    <definedName name="_188Excel_BuiltIn_Print_Area_74_1" localSheetId="5">#REF!</definedName>
    <definedName name="_188Excel_BuiltIn_Print_Area_74_1" localSheetId="1">#REF!</definedName>
    <definedName name="_188Excel_BuiltIn_Print_Area_74_1" localSheetId="0">#REF!</definedName>
    <definedName name="_188Excel_BuiltIn_Print_Area_74_1" localSheetId="4">#REF!</definedName>
    <definedName name="_188Excel_BuiltIn_Print_Area_74_1">#REF!</definedName>
    <definedName name="_189Excel_BuiltIn_Print_Area_64_1">'[6]LMCP_H-TX_LG'!$A$1:$R$33</definedName>
    <definedName name="_189Excel_BuiltIn_Print_Area_75_1" localSheetId="3">#REF!</definedName>
    <definedName name="_189Excel_BuiltIn_Print_Area_75_1" localSheetId="2">#REF!</definedName>
    <definedName name="_189Excel_BuiltIn_Print_Area_75_1" localSheetId="5">#REF!</definedName>
    <definedName name="_189Excel_BuiltIn_Print_Area_75_1" localSheetId="1">#REF!</definedName>
    <definedName name="_189Excel_BuiltIn_Print_Area_75_1" localSheetId="0">#REF!</definedName>
    <definedName name="_189Excel_BuiltIn_Print_Area_75_1" localSheetId="4">#REF!</definedName>
    <definedName name="_189Excel_BuiltIn_Print_Area_75_1">#REF!</definedName>
    <definedName name="_18Excel_BuiltIn_Print_Area_25_1">'[3]LMCP_TP_HA_B2_1 _ 1a'!$A$1:$S$33</definedName>
    <definedName name="_190Excel_BuiltIn_Print_Area_76_1" localSheetId="3">#REF!</definedName>
    <definedName name="_190Excel_BuiltIn_Print_Area_76_1" localSheetId="2">#REF!</definedName>
    <definedName name="_190Excel_BuiltIn_Print_Area_76_1" localSheetId="5">#REF!</definedName>
    <definedName name="_190Excel_BuiltIn_Print_Area_76_1" localSheetId="1">#REF!</definedName>
    <definedName name="_190Excel_BuiltIn_Print_Area_76_1" localSheetId="0">#REF!</definedName>
    <definedName name="_190Excel_BuiltIn_Print_Area_76_1" localSheetId="4">#REF!</definedName>
    <definedName name="_190Excel_BuiltIn_Print_Area_76_1">#REF!</definedName>
    <definedName name="_191Excel_BuiltIn_Print_Area_65_1" localSheetId="3">#REF!</definedName>
    <definedName name="_191Excel_BuiltIn_Print_Area_65_1" localSheetId="2">#REF!</definedName>
    <definedName name="_191Excel_BuiltIn_Print_Area_65_1" localSheetId="5">#REF!</definedName>
    <definedName name="_191Excel_BuiltIn_Print_Area_65_1" localSheetId="1">#REF!</definedName>
    <definedName name="_191Excel_BuiltIn_Print_Area_65_1" localSheetId="4">#REF!</definedName>
    <definedName name="_194Excel_BuiltIn_Print_Area_65_1" localSheetId="3">#REF!</definedName>
    <definedName name="_194Excel_BuiltIn_Print_Area_65_1" localSheetId="2">#REF!</definedName>
    <definedName name="_194Excel_BuiltIn_Print_Area_65_1" localSheetId="5">#REF!</definedName>
    <definedName name="_194Excel_BuiltIn_Print_Area_65_1" localSheetId="1">#REF!</definedName>
    <definedName name="_194Excel_BuiltIn_Print_Area_65_1" localSheetId="0">#REF!</definedName>
    <definedName name="_194Excel_BuiltIn_Print_Area_65_1" localSheetId="4">#REF!</definedName>
    <definedName name="_194Excel_BuiltIn_Print_Area_65_1">#REF!</definedName>
    <definedName name="_194Excel_BuiltIn_Print_Area_77_1">'[9]SBE-MC-LGM-3'!$A$1:$R$33</definedName>
    <definedName name="_196Excel_BuiltIn_Print_Area_66_1" localSheetId="3">#REF!</definedName>
    <definedName name="_196Excel_BuiltIn_Print_Area_66_1" localSheetId="2">#REF!</definedName>
    <definedName name="_196Excel_BuiltIn_Print_Area_66_1" localSheetId="5">#REF!</definedName>
    <definedName name="_196Excel_BuiltIn_Print_Area_66_1" localSheetId="1">#REF!</definedName>
    <definedName name="_196Excel_BuiltIn_Print_Area_66_1" localSheetId="4">#REF!</definedName>
    <definedName name="_198Excel_BuiltIn_Print_Area_78_1" localSheetId="3">#REF!</definedName>
    <definedName name="_198Excel_BuiltIn_Print_Area_78_1" localSheetId="2">#REF!</definedName>
    <definedName name="_198Excel_BuiltIn_Print_Area_78_1" localSheetId="5">#REF!</definedName>
    <definedName name="_198Excel_BuiltIn_Print_Area_78_1" localSheetId="1">#REF!</definedName>
    <definedName name="_198Excel_BuiltIn_Print_Area_78_1" localSheetId="0">#REF!</definedName>
    <definedName name="_198Excel_BuiltIn_Print_Area_78_1" localSheetId="4">#REF!</definedName>
    <definedName name="_198Excel_BuiltIn_Print_Area_78_1">#REF!</definedName>
    <definedName name="_199Excel_BuiltIn_Print_Area_66_1" localSheetId="3">#REF!</definedName>
    <definedName name="_199Excel_BuiltIn_Print_Area_66_1" localSheetId="2">#REF!</definedName>
    <definedName name="_199Excel_BuiltIn_Print_Area_66_1" localSheetId="5">#REF!</definedName>
    <definedName name="_199Excel_BuiltIn_Print_Area_66_1" localSheetId="1">#REF!</definedName>
    <definedName name="_199Excel_BuiltIn_Print_Area_66_1" localSheetId="0">#REF!</definedName>
    <definedName name="_199Excel_BuiltIn_Print_Area_66_1" localSheetId="4">#REF!</definedName>
    <definedName name="_199Excel_BuiltIn_Print_Area_66_1">#REF!</definedName>
    <definedName name="_19Excel_BuiltIn_Print_Area_26_1">'[3]LMCP_TP_HA_B2_2 _ 2a'!$A$1:$S$33</definedName>
    <definedName name="_1Excel_BuiltIn_Print_Area_10_1" localSheetId="3">#REF!</definedName>
    <definedName name="_1Excel_BuiltIn_Print_Area_10_1" localSheetId="2">#REF!</definedName>
    <definedName name="_1Excel_BuiltIn_Print_Area_10_1" localSheetId="5">#REF!</definedName>
    <definedName name="_1Excel_BuiltIn_Print_Area_10_1" localSheetId="1">#REF!</definedName>
    <definedName name="_1Excel_BuiltIn_Print_Area_10_1" localSheetId="0">#REF!</definedName>
    <definedName name="_1Excel_BuiltIn_Print_Area_10_1" localSheetId="4">#REF!</definedName>
    <definedName name="_1Excel_BuiltIn_Print_Area_10_1">#REF!</definedName>
    <definedName name="_201Excel_BuiltIn_Print_Area_67_1" localSheetId="3">#REF!</definedName>
    <definedName name="_201Excel_BuiltIn_Print_Area_67_1" localSheetId="2">#REF!</definedName>
    <definedName name="_201Excel_BuiltIn_Print_Area_67_1" localSheetId="5">#REF!</definedName>
    <definedName name="_201Excel_BuiltIn_Print_Area_67_1" localSheetId="1">#REF!</definedName>
    <definedName name="_201Excel_BuiltIn_Print_Area_67_1" localSheetId="4">#REF!</definedName>
    <definedName name="_202Excel_BuiltIn_Print_Area_79_1" localSheetId="3">#REF!</definedName>
    <definedName name="_202Excel_BuiltIn_Print_Area_79_1" localSheetId="2">#REF!</definedName>
    <definedName name="_202Excel_BuiltIn_Print_Area_79_1" localSheetId="5">#REF!</definedName>
    <definedName name="_202Excel_BuiltIn_Print_Area_79_1" localSheetId="1">#REF!</definedName>
    <definedName name="_202Excel_BuiltIn_Print_Area_79_1" localSheetId="0">#REF!</definedName>
    <definedName name="_202Excel_BuiltIn_Print_Area_79_1" localSheetId="4">#REF!</definedName>
    <definedName name="_202Excel_BuiltIn_Print_Area_79_1">#REF!</definedName>
    <definedName name="_204Excel_BuiltIn_Print_Area_67_1" localSheetId="3">#REF!</definedName>
    <definedName name="_204Excel_BuiltIn_Print_Area_67_1" localSheetId="2">#REF!</definedName>
    <definedName name="_204Excel_BuiltIn_Print_Area_67_1" localSheetId="5">#REF!</definedName>
    <definedName name="_204Excel_BuiltIn_Print_Area_67_1" localSheetId="1">#REF!</definedName>
    <definedName name="_204Excel_BuiltIn_Print_Area_67_1" localSheetId="0">#REF!</definedName>
    <definedName name="_204Excel_BuiltIn_Print_Area_67_1" localSheetId="4">#REF!</definedName>
    <definedName name="_204Excel_BuiltIn_Print_Area_67_1">#REF!</definedName>
    <definedName name="_206Excel_BuiltIn_Print_Area_68_1" localSheetId="3">[10]SB_MC_LG_1!$A$1:$R$32</definedName>
    <definedName name="_206Excel_BuiltIn_Print_Area_68_1" localSheetId="2">[10]SB_MC_LG_1!$A$1:$R$32</definedName>
    <definedName name="_206Excel_BuiltIn_Print_Area_68_1" localSheetId="5">[10]SB_MC_LG_1!$A$1:$R$32</definedName>
    <definedName name="_206Excel_BuiltIn_Print_Area_68_1" localSheetId="1">[10]SB_MC_LG_1!$A$1:$R$32</definedName>
    <definedName name="_206Excel_BuiltIn_Print_Area_68_1" localSheetId="4">[10]SB_MC_LG_1!$A$1:$R$32</definedName>
    <definedName name="_206Excel_BuiltIn_Print_Area_8_1">[11]LMCP_CEF_LG_2!$A$1:$R$34</definedName>
    <definedName name="_209Excel_BuiltIn_Print_Area_68_1">[7]SB_MC_LG_1!$A$1:$R$32</definedName>
    <definedName name="_20Excel_BuiltIn_Print_Area_102_1" localSheetId="3">#REF!</definedName>
    <definedName name="_20Excel_BuiltIn_Print_Area_102_1" localSheetId="2">#REF!</definedName>
    <definedName name="_20Excel_BuiltIn_Print_Area_102_1" localSheetId="5">#REF!</definedName>
    <definedName name="_20Excel_BuiltIn_Print_Area_102_1" localSheetId="1">#REF!</definedName>
    <definedName name="_20Excel_BuiltIn_Print_Area_102_1" localSheetId="0">#REF!</definedName>
    <definedName name="_20Excel_BuiltIn_Print_Area_102_1" localSheetId="4">#REF!</definedName>
    <definedName name="_20Excel_BuiltIn_Print_Area_102_1">#REF!</definedName>
    <definedName name="_20Excel_BuiltIn_Print_Area_103_1" localSheetId="3">#REF!</definedName>
    <definedName name="_20Excel_BuiltIn_Print_Area_103_1" localSheetId="2">#REF!</definedName>
    <definedName name="_20Excel_BuiltIn_Print_Area_103_1" localSheetId="5">#REF!</definedName>
    <definedName name="_20Excel_BuiltIn_Print_Area_103_1" localSheetId="1">#REF!</definedName>
    <definedName name="_20Excel_BuiltIn_Print_Area_103_1" localSheetId="0">#REF!</definedName>
    <definedName name="_20Excel_BuiltIn_Print_Area_103_1" localSheetId="4">#REF!</definedName>
    <definedName name="_20Excel_BuiltIn_Print_Area_103_1">#REF!</definedName>
    <definedName name="_20Excel_BuiltIn_Print_Area_27_1">'[3]LMCP_HRP_H_B2_2 _ 2a'!$A$1:$S$33</definedName>
    <definedName name="_210Excel_BuiltIn_Print_Area_80_1" localSheetId="3">#REF!</definedName>
    <definedName name="_210Excel_BuiltIn_Print_Area_80_1" localSheetId="2">#REF!</definedName>
    <definedName name="_210Excel_BuiltIn_Print_Area_80_1" localSheetId="5">#REF!</definedName>
    <definedName name="_210Excel_BuiltIn_Print_Area_80_1" localSheetId="1">#REF!</definedName>
    <definedName name="_210Excel_BuiltIn_Print_Area_80_1" localSheetId="0">#REF!</definedName>
    <definedName name="_210Excel_BuiltIn_Print_Area_80_1" localSheetId="4">#REF!</definedName>
    <definedName name="_210Excel_BuiltIn_Print_Area_80_1">#REF!</definedName>
    <definedName name="_211Excel_BuiltIn_Print_Area_69_1" localSheetId="3">#REF!</definedName>
    <definedName name="_211Excel_BuiltIn_Print_Area_69_1" localSheetId="2">#REF!</definedName>
    <definedName name="_211Excel_BuiltIn_Print_Area_69_1" localSheetId="5">#REF!</definedName>
    <definedName name="_211Excel_BuiltIn_Print_Area_69_1" localSheetId="1">#REF!</definedName>
    <definedName name="_211Excel_BuiltIn_Print_Area_69_1" localSheetId="4">#REF!</definedName>
    <definedName name="_214Excel_BuiltIn_Print_Area_69_1" localSheetId="3">#REF!</definedName>
    <definedName name="_214Excel_BuiltIn_Print_Area_69_1" localSheetId="2">#REF!</definedName>
    <definedName name="_214Excel_BuiltIn_Print_Area_69_1" localSheetId="5">#REF!</definedName>
    <definedName name="_214Excel_BuiltIn_Print_Area_69_1" localSheetId="1">#REF!</definedName>
    <definedName name="_214Excel_BuiltIn_Print_Area_69_1" localSheetId="0">#REF!</definedName>
    <definedName name="_214Excel_BuiltIn_Print_Area_69_1" localSheetId="4">#REF!</definedName>
    <definedName name="_214Excel_BuiltIn_Print_Area_69_1">#REF!</definedName>
    <definedName name="_214Excel_BuiltIn_Print_Area_81_1" localSheetId="3">#REF!</definedName>
    <definedName name="_214Excel_BuiltIn_Print_Area_81_1" localSheetId="2">#REF!</definedName>
    <definedName name="_214Excel_BuiltIn_Print_Area_81_1" localSheetId="5">#REF!</definedName>
    <definedName name="_214Excel_BuiltIn_Print_Area_81_1" localSheetId="1">#REF!</definedName>
    <definedName name="_214Excel_BuiltIn_Print_Area_81_1" localSheetId="0">#REF!</definedName>
    <definedName name="_214Excel_BuiltIn_Print_Area_81_1" localSheetId="4">#REF!</definedName>
    <definedName name="_214Excel_BuiltIn_Print_Area_81_1">#REF!</definedName>
    <definedName name="_216Excel_BuiltIn_Print_Area_7_1" localSheetId="3">[12]LMCP_CEF_LG_1!$A$1:$R$34</definedName>
    <definedName name="_216Excel_BuiltIn_Print_Area_7_1" localSheetId="2">[12]LMCP_CEF_LG_1!$A$1:$R$34</definedName>
    <definedName name="_216Excel_BuiltIn_Print_Area_7_1" localSheetId="5">[12]LMCP_CEF_LG_1!$A$1:$R$34</definedName>
    <definedName name="_216Excel_BuiltIn_Print_Area_7_1" localSheetId="1">[12]LMCP_CEF_LG_1!$A$1:$R$34</definedName>
    <definedName name="_216Excel_BuiltIn_Print_Area_7_1" localSheetId="4">[12]LMCP_CEF_LG_1!$A$1:$R$34</definedName>
    <definedName name="_218Excel_BuiltIn_Print_Area_82_1" localSheetId="3">#REF!</definedName>
    <definedName name="_218Excel_BuiltIn_Print_Area_82_1" localSheetId="2">#REF!</definedName>
    <definedName name="_218Excel_BuiltIn_Print_Area_82_1" localSheetId="5">#REF!</definedName>
    <definedName name="_218Excel_BuiltIn_Print_Area_82_1" localSheetId="1">#REF!</definedName>
    <definedName name="_218Excel_BuiltIn_Print_Area_82_1" localSheetId="0">#REF!</definedName>
    <definedName name="_218Excel_BuiltIn_Print_Area_82_1" localSheetId="4">#REF!</definedName>
    <definedName name="_218Excel_BuiltIn_Print_Area_82_1">#REF!</definedName>
    <definedName name="_219Excel_BuiltIn_Print_Area_7_1">[8]LMCP_CEF_LG_1!$A$1:$R$34</definedName>
    <definedName name="_21Excel_BuiltIn_Print_Area_28_1">'[3]LMCP_HRP_H_B2_3 _ 3a'!$A$1:$S$33</definedName>
    <definedName name="_221Excel_BuiltIn_Print_Area_70_1" localSheetId="3">#REF!</definedName>
    <definedName name="_221Excel_BuiltIn_Print_Area_70_1" localSheetId="2">#REF!</definedName>
    <definedName name="_221Excel_BuiltIn_Print_Area_70_1" localSheetId="5">#REF!</definedName>
    <definedName name="_221Excel_BuiltIn_Print_Area_70_1" localSheetId="1">#REF!</definedName>
    <definedName name="_221Excel_BuiltIn_Print_Area_70_1" localSheetId="4">#REF!</definedName>
    <definedName name="_222Excel_BuiltIn_Print_Area_88_1" localSheetId="3">#REF!</definedName>
    <definedName name="_222Excel_BuiltIn_Print_Area_88_1" localSheetId="2">#REF!</definedName>
    <definedName name="_222Excel_BuiltIn_Print_Area_88_1" localSheetId="5">#REF!</definedName>
    <definedName name="_222Excel_BuiltIn_Print_Area_88_1" localSheetId="1">#REF!</definedName>
    <definedName name="_222Excel_BuiltIn_Print_Area_88_1" localSheetId="0">#REF!</definedName>
    <definedName name="_222Excel_BuiltIn_Print_Area_88_1" localSheetId="4">#REF!</definedName>
    <definedName name="_222Excel_BuiltIn_Print_Area_88_1">#REF!</definedName>
    <definedName name="_224Excel_BuiltIn_Print_Area_70_1" localSheetId="3">#REF!</definedName>
    <definedName name="_224Excel_BuiltIn_Print_Area_70_1" localSheetId="2">#REF!</definedName>
    <definedName name="_224Excel_BuiltIn_Print_Area_70_1" localSheetId="5">#REF!</definedName>
    <definedName name="_224Excel_BuiltIn_Print_Area_70_1" localSheetId="1">#REF!</definedName>
    <definedName name="_224Excel_BuiltIn_Print_Area_70_1" localSheetId="0">#REF!</definedName>
    <definedName name="_224Excel_BuiltIn_Print_Area_70_1" localSheetId="4">#REF!</definedName>
    <definedName name="_224Excel_BuiltIn_Print_Area_70_1">#REF!</definedName>
    <definedName name="_225Excel_BuiltIn_Print_Area_71_1" localSheetId="3">#REF!</definedName>
    <definedName name="_225Excel_BuiltIn_Print_Area_71_1" localSheetId="2">#REF!</definedName>
    <definedName name="_225Excel_BuiltIn_Print_Area_71_1" localSheetId="5">#REF!</definedName>
    <definedName name="_225Excel_BuiltIn_Print_Area_71_1" localSheetId="1">#REF!</definedName>
    <definedName name="_225Excel_BuiltIn_Print_Area_71_1" localSheetId="0">#REF!</definedName>
    <definedName name="_225Excel_BuiltIn_Print_Area_71_1" localSheetId="4">#REF!</definedName>
    <definedName name="_225Excel_BuiltIn_Print_Area_71_1">#REF!</definedName>
    <definedName name="_226Excel_BuiltIn_Print_Area_72_1" localSheetId="3">#REF!</definedName>
    <definedName name="_226Excel_BuiltIn_Print_Area_72_1" localSheetId="2">#REF!</definedName>
    <definedName name="_226Excel_BuiltIn_Print_Area_72_1" localSheetId="5">#REF!</definedName>
    <definedName name="_226Excel_BuiltIn_Print_Area_72_1" localSheetId="1">#REF!</definedName>
    <definedName name="_226Excel_BuiltIn_Print_Area_72_1" localSheetId="0">#REF!</definedName>
    <definedName name="_226Excel_BuiltIn_Print_Area_72_1" localSheetId="4">#REF!</definedName>
    <definedName name="_226Excel_BuiltIn_Print_Area_72_1">#REF!</definedName>
    <definedName name="_226Excel_BuiltIn_Print_Area_89_1" localSheetId="3">#REF!</definedName>
    <definedName name="_226Excel_BuiltIn_Print_Area_89_1" localSheetId="2">#REF!</definedName>
    <definedName name="_226Excel_BuiltIn_Print_Area_89_1" localSheetId="5">#REF!</definedName>
    <definedName name="_226Excel_BuiltIn_Print_Area_89_1" localSheetId="1">#REF!</definedName>
    <definedName name="_226Excel_BuiltIn_Print_Area_89_1" localSheetId="0">#REF!</definedName>
    <definedName name="_226Excel_BuiltIn_Print_Area_89_1" localSheetId="4">#REF!</definedName>
    <definedName name="_226Excel_BuiltIn_Print_Area_89_1">#REF!</definedName>
    <definedName name="_227Excel_BuiltIn_Print_Area_73_1" localSheetId="3">#REF!</definedName>
    <definedName name="_227Excel_BuiltIn_Print_Area_73_1" localSheetId="2">#REF!</definedName>
    <definedName name="_227Excel_BuiltIn_Print_Area_73_1" localSheetId="5">#REF!</definedName>
    <definedName name="_227Excel_BuiltIn_Print_Area_73_1" localSheetId="1">#REF!</definedName>
    <definedName name="_227Excel_BuiltIn_Print_Area_73_1" localSheetId="0">#REF!</definedName>
    <definedName name="_227Excel_BuiltIn_Print_Area_73_1" localSheetId="4">#REF!</definedName>
    <definedName name="_227Excel_BuiltIn_Print_Area_73_1">#REF!</definedName>
    <definedName name="_228Excel_BuiltIn_Print_Area_74_1" localSheetId="3">#REF!</definedName>
    <definedName name="_228Excel_BuiltIn_Print_Area_74_1" localSheetId="2">#REF!</definedName>
    <definedName name="_228Excel_BuiltIn_Print_Area_74_1" localSheetId="5">#REF!</definedName>
    <definedName name="_228Excel_BuiltIn_Print_Area_74_1" localSheetId="1">#REF!</definedName>
    <definedName name="_228Excel_BuiltIn_Print_Area_74_1" localSheetId="0">#REF!</definedName>
    <definedName name="_228Excel_BuiltIn_Print_Area_74_1" localSheetId="4">#REF!</definedName>
    <definedName name="_228Excel_BuiltIn_Print_Area_74_1">#REF!</definedName>
    <definedName name="_229Excel_BuiltIn_Print_Area_75_1" localSheetId="3">#REF!</definedName>
    <definedName name="_229Excel_BuiltIn_Print_Area_75_1" localSheetId="2">#REF!</definedName>
    <definedName name="_229Excel_BuiltIn_Print_Area_75_1" localSheetId="5">#REF!</definedName>
    <definedName name="_229Excel_BuiltIn_Print_Area_75_1" localSheetId="1">#REF!</definedName>
    <definedName name="_229Excel_BuiltIn_Print_Area_75_1" localSheetId="0">#REF!</definedName>
    <definedName name="_229Excel_BuiltIn_Print_Area_75_1" localSheetId="4">#REF!</definedName>
    <definedName name="_229Excel_BuiltIn_Print_Area_75_1">#REF!</definedName>
    <definedName name="_22Excel_BuiltIn_Print_Area_103_1" localSheetId="3">#REF!</definedName>
    <definedName name="_22Excel_BuiltIn_Print_Area_103_1" localSheetId="2">#REF!</definedName>
    <definedName name="_22Excel_BuiltIn_Print_Area_103_1" localSheetId="5">#REF!</definedName>
    <definedName name="_22Excel_BuiltIn_Print_Area_103_1" localSheetId="1">#REF!</definedName>
    <definedName name="_22Excel_BuiltIn_Print_Area_103_1" localSheetId="4">#REF!</definedName>
    <definedName name="_22Excel_BuiltIn_Print_Area_29_1" localSheetId="3">#REF!</definedName>
    <definedName name="_22Excel_BuiltIn_Print_Area_29_1" localSheetId="2">#REF!</definedName>
    <definedName name="_22Excel_BuiltIn_Print_Area_29_1" localSheetId="5">#REF!</definedName>
    <definedName name="_22Excel_BuiltIn_Print_Area_29_1" localSheetId="1">#REF!</definedName>
    <definedName name="_22Excel_BuiltIn_Print_Area_29_1" localSheetId="0">#REF!</definedName>
    <definedName name="_22Excel_BuiltIn_Print_Area_29_1" localSheetId="4">#REF!</definedName>
    <definedName name="_22Excel_BuiltIn_Print_Area_29_1">#REF!</definedName>
    <definedName name="_230Excel_BuiltIn_Print_Area_76_1" localSheetId="3">#REF!</definedName>
    <definedName name="_230Excel_BuiltIn_Print_Area_76_1" localSheetId="2">#REF!</definedName>
    <definedName name="_230Excel_BuiltIn_Print_Area_76_1" localSheetId="5">#REF!</definedName>
    <definedName name="_230Excel_BuiltIn_Print_Area_76_1" localSheetId="1">#REF!</definedName>
    <definedName name="_230Excel_BuiltIn_Print_Area_76_1" localSheetId="0">#REF!</definedName>
    <definedName name="_230Excel_BuiltIn_Print_Area_76_1" localSheetId="4">#REF!</definedName>
    <definedName name="_230Excel_BuiltIn_Print_Area_76_1">#REF!</definedName>
    <definedName name="_230Excel_BuiltIn_Print_Area_9_1" localSheetId="3">#REF!</definedName>
    <definedName name="_230Excel_BuiltIn_Print_Area_9_1" localSheetId="2">#REF!</definedName>
    <definedName name="_230Excel_BuiltIn_Print_Area_9_1" localSheetId="5">#REF!</definedName>
    <definedName name="_230Excel_BuiltIn_Print_Area_9_1" localSheetId="1">#REF!</definedName>
    <definedName name="_230Excel_BuiltIn_Print_Area_9_1" localSheetId="0">#REF!</definedName>
    <definedName name="_230Excel_BuiltIn_Print_Area_9_1" localSheetId="4">#REF!</definedName>
    <definedName name="_230Excel_BuiltIn_Print_Area_9_1">#REF!</definedName>
    <definedName name="_232Excel_BuiltIn_Print_Area_77_1" localSheetId="3">'[13]SBE-MC-LGM-3'!$A$1:$R$33</definedName>
    <definedName name="_232Excel_BuiltIn_Print_Area_77_1" localSheetId="2">'[13]SBE-MC-LGM-3'!$A$1:$R$33</definedName>
    <definedName name="_232Excel_BuiltIn_Print_Area_77_1" localSheetId="5">'[13]SBE-MC-LGM-3'!$A$1:$R$33</definedName>
    <definedName name="_232Excel_BuiltIn_Print_Area_77_1" localSheetId="1">'[13]SBE-MC-LGM-3'!$A$1:$R$33</definedName>
    <definedName name="_232Excel_BuiltIn_Print_Area_77_1" localSheetId="4">'[13]SBE-MC-LGM-3'!$A$1:$R$33</definedName>
    <definedName name="_234Excel_BuiltIn_Print_Area_90_1">'[14]SBE_H_G_3_(FCC)_'!$A$1:$R$40</definedName>
    <definedName name="_235Excel_BuiltIn_Print_Area_77_1">'[9]SBE-MC-LGM-3'!$A$1:$R$33</definedName>
    <definedName name="_237Excel_BuiltIn_Print_Area_78_1" localSheetId="3">#REF!</definedName>
    <definedName name="_237Excel_BuiltIn_Print_Area_78_1" localSheetId="2">#REF!</definedName>
    <definedName name="_237Excel_BuiltIn_Print_Area_78_1" localSheetId="5">#REF!</definedName>
    <definedName name="_237Excel_BuiltIn_Print_Area_78_1" localSheetId="1">#REF!</definedName>
    <definedName name="_237Excel_BuiltIn_Print_Area_78_1" localSheetId="4">#REF!</definedName>
    <definedName name="_238Excel_BuiltIn_Print_Area_91_1">[14]LMCP_DX_FCU_H_G_1!$A$1:$R$30</definedName>
    <definedName name="_23Excel_BuiltIn_Print_Area_3_1" localSheetId="3">#REF!</definedName>
    <definedName name="_23Excel_BuiltIn_Print_Area_3_1" localSheetId="2">#REF!</definedName>
    <definedName name="_23Excel_BuiltIn_Print_Area_3_1" localSheetId="5">#REF!</definedName>
    <definedName name="_23Excel_BuiltIn_Print_Area_3_1" localSheetId="1">#REF!</definedName>
    <definedName name="_23Excel_BuiltIn_Print_Area_3_1" localSheetId="0">#REF!</definedName>
    <definedName name="_23Excel_BuiltIn_Print_Area_3_1" localSheetId="4">#REF!</definedName>
    <definedName name="_23Excel_BuiltIn_Print_Area_3_1">#REF!</definedName>
    <definedName name="_240Excel_BuiltIn_Print_Area_78_1" localSheetId="3">#REF!</definedName>
    <definedName name="_240Excel_BuiltIn_Print_Area_78_1" localSheetId="2">#REF!</definedName>
    <definedName name="_240Excel_BuiltIn_Print_Area_78_1" localSheetId="5">#REF!</definedName>
    <definedName name="_240Excel_BuiltIn_Print_Area_78_1" localSheetId="1">#REF!</definedName>
    <definedName name="_240Excel_BuiltIn_Print_Area_78_1" localSheetId="0">#REF!</definedName>
    <definedName name="_240Excel_BuiltIn_Print_Area_78_1" localSheetId="4">#REF!</definedName>
    <definedName name="_240Excel_BuiltIn_Print_Area_78_1">#REF!</definedName>
    <definedName name="_242Excel_BuiltIn_Print_Area_79_1" localSheetId="3">#REF!</definedName>
    <definedName name="_242Excel_BuiltIn_Print_Area_79_1" localSheetId="2">#REF!</definedName>
    <definedName name="_242Excel_BuiltIn_Print_Area_79_1" localSheetId="5">#REF!</definedName>
    <definedName name="_242Excel_BuiltIn_Print_Area_79_1" localSheetId="1">#REF!</definedName>
    <definedName name="_242Excel_BuiltIn_Print_Area_79_1" localSheetId="4">#REF!</definedName>
    <definedName name="_242Excel_BuiltIn_Print_Area_92_1">[14]LMCP_DX_FCU_H_LG_1!$A$1:$R$32</definedName>
    <definedName name="_245Excel_BuiltIn_Print_Area_79_1" localSheetId="3">#REF!</definedName>
    <definedName name="_245Excel_BuiltIn_Print_Area_79_1" localSheetId="2">#REF!</definedName>
    <definedName name="_245Excel_BuiltIn_Print_Area_79_1" localSheetId="5">#REF!</definedName>
    <definedName name="_245Excel_BuiltIn_Print_Area_79_1" localSheetId="1">#REF!</definedName>
    <definedName name="_245Excel_BuiltIn_Print_Area_79_1" localSheetId="0">#REF!</definedName>
    <definedName name="_245Excel_BuiltIn_Print_Area_79_1" localSheetId="4">#REF!</definedName>
    <definedName name="_245Excel_BuiltIn_Print_Area_79_1">#REF!</definedName>
    <definedName name="_246Excel_BuiltIn_Print_Area_93_1">[14]LMCP_DX_FCU_H_LG_2!$A$1:$R$30</definedName>
    <definedName name="_247Excel_BuiltIn_Print_Area_8_1" localSheetId="3">[15]LMCP_CEF_LG_2!$A$1:$R$34</definedName>
    <definedName name="_247Excel_BuiltIn_Print_Area_8_1" localSheetId="2">[15]LMCP_CEF_LG_2!$A$1:$R$34</definedName>
    <definedName name="_247Excel_BuiltIn_Print_Area_8_1" localSheetId="5">[15]LMCP_CEF_LG_2!$A$1:$R$34</definedName>
    <definedName name="_247Excel_BuiltIn_Print_Area_8_1" localSheetId="1">[15]LMCP_CEF_LG_2!$A$1:$R$34</definedName>
    <definedName name="_247Excel_BuiltIn_Print_Area_8_1" localSheetId="4">[15]LMCP_CEF_LG_2!$A$1:$R$34</definedName>
    <definedName name="_24Excel_BuiltIn_Print_Area_11_1" localSheetId="3">#REF!</definedName>
    <definedName name="_24Excel_BuiltIn_Print_Area_11_1" localSheetId="2">#REF!</definedName>
    <definedName name="_24Excel_BuiltIn_Print_Area_11_1" localSheetId="5">#REF!</definedName>
    <definedName name="_24Excel_BuiltIn_Print_Area_11_1" localSheetId="1">#REF!</definedName>
    <definedName name="_24Excel_BuiltIn_Print_Area_11_1" localSheetId="0">#REF!</definedName>
    <definedName name="_24Excel_BuiltIn_Print_Area_11_1" localSheetId="4">#REF!</definedName>
    <definedName name="_24Excel_BuiltIn_Print_Area_11_1">#REF!</definedName>
    <definedName name="_24Excel_BuiltIn_Print_Area_30_1">'[3]LMCP_FWP_H_B2_1 _ 1a'!$A$1:$S$33</definedName>
    <definedName name="_250Excel_BuiltIn_Print_Area_8_1">[11]LMCP_CEF_LG_2!$A$1:$R$34</definedName>
    <definedName name="_250Excel_BuiltIn_Print_Area_94_1">[14]LMCP_DX_FCU_H_LGM_1!$A$1:$R$30</definedName>
    <definedName name="_252Excel_BuiltIn_Print_Area_80_1" localSheetId="3">#REF!</definedName>
    <definedName name="_252Excel_BuiltIn_Print_Area_80_1" localSheetId="2">#REF!</definedName>
    <definedName name="_252Excel_BuiltIn_Print_Area_80_1" localSheetId="5">#REF!</definedName>
    <definedName name="_252Excel_BuiltIn_Print_Area_80_1" localSheetId="1">#REF!</definedName>
    <definedName name="_252Excel_BuiltIn_Print_Area_80_1" localSheetId="4">#REF!</definedName>
    <definedName name="_254Excel_BuiltIn_Print_Area_95_1">[14]LMCP_DX_FCU_H_LGM_2!$A$1:$R$30</definedName>
    <definedName name="_255Excel_BuiltIn_Print_Area_80_1" localSheetId="3">#REF!</definedName>
    <definedName name="_255Excel_BuiltIn_Print_Area_80_1" localSheetId="2">#REF!</definedName>
    <definedName name="_255Excel_BuiltIn_Print_Area_80_1" localSheetId="5">#REF!</definedName>
    <definedName name="_255Excel_BuiltIn_Print_Area_80_1" localSheetId="1">#REF!</definedName>
    <definedName name="_255Excel_BuiltIn_Print_Area_80_1" localSheetId="0">#REF!</definedName>
    <definedName name="_255Excel_BuiltIn_Print_Area_80_1" localSheetId="4">#REF!</definedName>
    <definedName name="_255Excel_BuiltIn_Print_Area_80_1">#REF!</definedName>
    <definedName name="_257Excel_BuiltIn_Print_Area_81_1" localSheetId="3">#REF!</definedName>
    <definedName name="_257Excel_BuiltIn_Print_Area_81_1" localSheetId="2">#REF!</definedName>
    <definedName name="_257Excel_BuiltIn_Print_Area_81_1" localSheetId="5">#REF!</definedName>
    <definedName name="_257Excel_BuiltIn_Print_Area_81_1" localSheetId="1">#REF!</definedName>
    <definedName name="_257Excel_BuiltIn_Print_Area_81_1" localSheetId="4">#REF!</definedName>
    <definedName name="_258Excel_BuiltIn_Print_Area_96_1" localSheetId="3">#REF!</definedName>
    <definedName name="_258Excel_BuiltIn_Print_Area_96_1" localSheetId="2">#REF!</definedName>
    <definedName name="_258Excel_BuiltIn_Print_Area_96_1" localSheetId="5">#REF!</definedName>
    <definedName name="_258Excel_BuiltIn_Print_Area_96_1" localSheetId="1">#REF!</definedName>
    <definedName name="_258Excel_BuiltIn_Print_Area_96_1" localSheetId="0">#REF!</definedName>
    <definedName name="_258Excel_BuiltIn_Print_Area_96_1" localSheetId="4">#REF!</definedName>
    <definedName name="_258Excel_BuiltIn_Print_Area_96_1">#REF!</definedName>
    <definedName name="_25Excel_BuiltIn_Print_Area_103_1" localSheetId="3">#REF!</definedName>
    <definedName name="_25Excel_BuiltIn_Print_Area_103_1" localSheetId="2">#REF!</definedName>
    <definedName name="_25Excel_BuiltIn_Print_Area_103_1" localSheetId="5">#REF!</definedName>
    <definedName name="_25Excel_BuiltIn_Print_Area_103_1" localSheetId="1">#REF!</definedName>
    <definedName name="_25Excel_BuiltIn_Print_Area_103_1" localSheetId="0">#REF!</definedName>
    <definedName name="_25Excel_BuiltIn_Print_Area_103_1" localSheetId="4">#REF!</definedName>
    <definedName name="_25Excel_BuiltIn_Print_Area_103_1">#REF!</definedName>
    <definedName name="_25Excel_BuiltIn_Print_Area_31_1">'[3]LMCP_FWP_H_B2_2 _ 2a'!$A$1:$S$33</definedName>
    <definedName name="_260Excel_BuiltIn_Print_Area_81_1" localSheetId="3">#REF!</definedName>
    <definedName name="_260Excel_BuiltIn_Print_Area_81_1" localSheetId="2">#REF!</definedName>
    <definedName name="_260Excel_BuiltIn_Print_Area_81_1" localSheetId="5">#REF!</definedName>
    <definedName name="_260Excel_BuiltIn_Print_Area_81_1" localSheetId="1">#REF!</definedName>
    <definedName name="_260Excel_BuiltIn_Print_Area_81_1" localSheetId="0">#REF!</definedName>
    <definedName name="_260Excel_BuiltIn_Print_Area_81_1" localSheetId="4">#REF!</definedName>
    <definedName name="_260Excel_BuiltIn_Print_Area_81_1">#REF!</definedName>
    <definedName name="_262Excel_BuiltIn_Print_Area_82_1" localSheetId="3">#REF!</definedName>
    <definedName name="_262Excel_BuiltIn_Print_Area_82_1" localSheetId="2">#REF!</definedName>
    <definedName name="_262Excel_BuiltIn_Print_Area_82_1" localSheetId="5">#REF!</definedName>
    <definedName name="_262Excel_BuiltIn_Print_Area_82_1" localSheetId="1">#REF!</definedName>
    <definedName name="_262Excel_BuiltIn_Print_Area_82_1" localSheetId="4">#REF!</definedName>
    <definedName name="_262Excel_BuiltIn_Print_Area_97_1" localSheetId="3">#REF!</definedName>
    <definedName name="_262Excel_BuiltIn_Print_Area_97_1" localSheetId="2">#REF!</definedName>
    <definedName name="_262Excel_BuiltIn_Print_Area_97_1" localSheetId="5">#REF!</definedName>
    <definedName name="_262Excel_BuiltIn_Print_Area_97_1" localSheetId="1">#REF!</definedName>
    <definedName name="_262Excel_BuiltIn_Print_Area_97_1" localSheetId="0">#REF!</definedName>
    <definedName name="_262Excel_BuiltIn_Print_Area_97_1" localSheetId="4">#REF!</definedName>
    <definedName name="_262Excel_BuiltIn_Print_Area_97_1">#REF!</definedName>
    <definedName name="_265Excel_BuiltIn_Print_Area_82_1" localSheetId="3">#REF!</definedName>
    <definedName name="_265Excel_BuiltIn_Print_Area_82_1" localSheetId="2">#REF!</definedName>
    <definedName name="_265Excel_BuiltIn_Print_Area_82_1" localSheetId="5">#REF!</definedName>
    <definedName name="_265Excel_BuiltIn_Print_Area_82_1" localSheetId="1">#REF!</definedName>
    <definedName name="_265Excel_BuiltIn_Print_Area_82_1" localSheetId="0">#REF!</definedName>
    <definedName name="_265Excel_BuiltIn_Print_Area_82_1" localSheetId="4">#REF!</definedName>
    <definedName name="_265Excel_BuiltIn_Print_Area_82_1">#REF!</definedName>
    <definedName name="_266Excel_BuiltIn_Print_Area_98_1" localSheetId="3">#REF!</definedName>
    <definedName name="_266Excel_BuiltIn_Print_Area_98_1" localSheetId="2">#REF!</definedName>
    <definedName name="_266Excel_BuiltIn_Print_Area_98_1" localSheetId="5">#REF!</definedName>
    <definedName name="_266Excel_BuiltIn_Print_Area_98_1" localSheetId="1">#REF!</definedName>
    <definedName name="_266Excel_BuiltIn_Print_Area_98_1" localSheetId="0">#REF!</definedName>
    <definedName name="_266Excel_BuiltIn_Print_Area_98_1" localSheetId="4">#REF!</definedName>
    <definedName name="_266Excel_BuiltIn_Print_Area_98_1">#REF!</definedName>
    <definedName name="_267Excel_BuiltIn_Print_Area_88_1" localSheetId="3">#REF!</definedName>
    <definedName name="_267Excel_BuiltIn_Print_Area_88_1" localSheetId="2">#REF!</definedName>
    <definedName name="_267Excel_BuiltIn_Print_Area_88_1" localSheetId="5">#REF!</definedName>
    <definedName name="_267Excel_BuiltIn_Print_Area_88_1" localSheetId="1">#REF!</definedName>
    <definedName name="_267Excel_BuiltIn_Print_Area_88_1" localSheetId="4">#REF!</definedName>
    <definedName name="_26Excel_BuiltIn_Print_Area_32_1" localSheetId="3">#REF!</definedName>
    <definedName name="_26Excel_BuiltIn_Print_Area_32_1" localSheetId="2">#REF!</definedName>
    <definedName name="_26Excel_BuiltIn_Print_Area_32_1" localSheetId="5">#REF!</definedName>
    <definedName name="_26Excel_BuiltIn_Print_Area_32_1" localSheetId="1">#REF!</definedName>
    <definedName name="_26Excel_BuiltIn_Print_Area_32_1" localSheetId="0">#REF!</definedName>
    <definedName name="_26Excel_BuiltIn_Print_Area_32_1" localSheetId="4">#REF!</definedName>
    <definedName name="_26Excel_BuiltIn_Print_Area_32_1">#REF!</definedName>
    <definedName name="_270Excel_BuiltIn_Print_Area_88_1" localSheetId="3">#REF!</definedName>
    <definedName name="_270Excel_BuiltIn_Print_Area_88_1" localSheetId="2">#REF!</definedName>
    <definedName name="_270Excel_BuiltIn_Print_Area_88_1" localSheetId="5">#REF!</definedName>
    <definedName name="_270Excel_BuiltIn_Print_Area_88_1" localSheetId="1">#REF!</definedName>
    <definedName name="_270Excel_BuiltIn_Print_Area_88_1" localSheetId="0">#REF!</definedName>
    <definedName name="_270Excel_BuiltIn_Print_Area_88_1" localSheetId="4">#REF!</definedName>
    <definedName name="_270Excel_BuiltIn_Print_Area_88_1">#REF!</definedName>
    <definedName name="_270Excel_BuiltIn_Print_Area_99_1" localSheetId="3">#REF!</definedName>
    <definedName name="_270Excel_BuiltIn_Print_Area_99_1" localSheetId="2">#REF!</definedName>
    <definedName name="_270Excel_BuiltIn_Print_Area_99_1" localSheetId="5">#REF!</definedName>
    <definedName name="_270Excel_BuiltIn_Print_Area_99_1" localSheetId="1">#REF!</definedName>
    <definedName name="_270Excel_BuiltIn_Print_Area_99_1" localSheetId="0">#REF!</definedName>
    <definedName name="_270Excel_BuiltIn_Print_Area_99_1" localSheetId="4">#REF!</definedName>
    <definedName name="_270Excel_BuiltIn_Print_Area_99_1">#REF!</definedName>
    <definedName name="_272Excel_BuiltIn_Print_Area_89_1" localSheetId="3">#REF!</definedName>
    <definedName name="_272Excel_BuiltIn_Print_Area_89_1" localSheetId="2">#REF!</definedName>
    <definedName name="_272Excel_BuiltIn_Print_Area_89_1" localSheetId="5">#REF!</definedName>
    <definedName name="_272Excel_BuiltIn_Print_Area_89_1" localSheetId="1">#REF!</definedName>
    <definedName name="_272Excel_BuiltIn_Print_Area_89_1" localSheetId="4">#REF!</definedName>
    <definedName name="_275Excel_BuiltIn_Print_Area_89_1" localSheetId="3">#REF!</definedName>
    <definedName name="_275Excel_BuiltIn_Print_Area_89_1" localSheetId="2">#REF!</definedName>
    <definedName name="_275Excel_BuiltIn_Print_Area_89_1" localSheetId="5">#REF!</definedName>
    <definedName name="_275Excel_BuiltIn_Print_Area_89_1" localSheetId="1">#REF!</definedName>
    <definedName name="_275Excel_BuiltIn_Print_Area_89_1" localSheetId="0">#REF!</definedName>
    <definedName name="_275Excel_BuiltIn_Print_Area_89_1" localSheetId="4">#REF!</definedName>
    <definedName name="_275Excel_BuiltIn_Print_Area_89_1">#REF!</definedName>
    <definedName name="_277Excel_BuiltIn_Print_Area_9_1" localSheetId="3">#REF!</definedName>
    <definedName name="_277Excel_BuiltIn_Print_Area_9_1" localSheetId="2">#REF!</definedName>
    <definedName name="_277Excel_BuiltIn_Print_Area_9_1" localSheetId="5">#REF!</definedName>
    <definedName name="_277Excel_BuiltIn_Print_Area_9_1" localSheetId="1">#REF!</definedName>
    <definedName name="_277Excel_BuiltIn_Print_Area_9_1" localSheetId="4">#REF!</definedName>
    <definedName name="_27Excel_BuiltIn_Print_Area_11_1" localSheetId="3">#REF!</definedName>
    <definedName name="_27Excel_BuiltIn_Print_Area_11_1" localSheetId="2">#REF!</definedName>
    <definedName name="_27Excel_BuiltIn_Print_Area_11_1" localSheetId="5">#REF!</definedName>
    <definedName name="_27Excel_BuiltIn_Print_Area_11_1" localSheetId="1">#REF!</definedName>
    <definedName name="_27Excel_BuiltIn_Print_Area_11_1" localSheetId="4">#REF!</definedName>
    <definedName name="_27Excel_BuiltIn_Print_Area_33_1" localSheetId="3">#REF!</definedName>
    <definedName name="_27Excel_BuiltIn_Print_Area_33_1" localSheetId="2">#REF!</definedName>
    <definedName name="_27Excel_BuiltIn_Print_Area_33_1" localSheetId="5">#REF!</definedName>
    <definedName name="_27Excel_BuiltIn_Print_Area_33_1" localSheetId="1">#REF!</definedName>
    <definedName name="_27Excel_BuiltIn_Print_Area_33_1" localSheetId="0">#REF!</definedName>
    <definedName name="_27Excel_BuiltIn_Print_Area_33_1" localSheetId="4">#REF!</definedName>
    <definedName name="_27Excel_BuiltIn_Print_Area_33_1">#REF!</definedName>
    <definedName name="_280Excel_BuiltIn_Print_Area_9_1" localSheetId="3">#REF!</definedName>
    <definedName name="_280Excel_BuiltIn_Print_Area_9_1" localSheetId="2">#REF!</definedName>
    <definedName name="_280Excel_BuiltIn_Print_Area_9_1" localSheetId="5">#REF!</definedName>
    <definedName name="_280Excel_BuiltIn_Print_Area_9_1" localSheetId="1">#REF!</definedName>
    <definedName name="_280Excel_BuiltIn_Print_Area_9_1" localSheetId="0">#REF!</definedName>
    <definedName name="_280Excel_BuiltIn_Print_Area_9_1" localSheetId="4">#REF!</definedName>
    <definedName name="_280Excel_BuiltIn_Print_Area_9_1">#REF!</definedName>
    <definedName name="_282Excel_BuiltIn_Print_Area_90_1" localSheetId="3">'[16]SBE_H_G_3_(FCC)_'!$A$1:$R$40</definedName>
    <definedName name="_282Excel_BuiltIn_Print_Area_90_1" localSheetId="2">'[16]SBE_H_G_3_(FCC)_'!$A$1:$R$40</definedName>
    <definedName name="_282Excel_BuiltIn_Print_Area_90_1" localSheetId="5">'[16]SBE_H_G_3_(FCC)_'!$A$1:$R$40</definedName>
    <definedName name="_282Excel_BuiltIn_Print_Area_90_1" localSheetId="1">'[16]SBE_H_G_3_(FCC)_'!$A$1:$R$40</definedName>
    <definedName name="_282Excel_BuiltIn_Print_Area_90_1" localSheetId="4">'[16]SBE_H_G_3_(FCC)_'!$A$1:$R$40</definedName>
    <definedName name="_285Excel_BuiltIn_Print_Area_90_1">'[14]SBE_H_G_3_(FCC)_'!$A$1:$R$40</definedName>
    <definedName name="_287Excel_BuiltIn_Print_Area_91_1" localSheetId="3">[16]LMCP_DX_FCU_H_G_1!$A$1:$R$30</definedName>
    <definedName name="_287Excel_BuiltIn_Print_Area_91_1" localSheetId="2">[16]LMCP_DX_FCU_H_G_1!$A$1:$R$30</definedName>
    <definedName name="_287Excel_BuiltIn_Print_Area_91_1" localSheetId="5">[16]LMCP_DX_FCU_H_G_1!$A$1:$R$30</definedName>
    <definedName name="_287Excel_BuiltIn_Print_Area_91_1" localSheetId="1">[16]LMCP_DX_FCU_H_G_1!$A$1:$R$30</definedName>
    <definedName name="_287Excel_BuiltIn_Print_Area_91_1" localSheetId="4">[16]LMCP_DX_FCU_H_G_1!$A$1:$R$30</definedName>
    <definedName name="_28Excel_BuiltIn_Print_Area_112_1" localSheetId="3">#REF!</definedName>
    <definedName name="_28Excel_BuiltIn_Print_Area_112_1" localSheetId="2">#REF!</definedName>
    <definedName name="_28Excel_BuiltIn_Print_Area_112_1" localSheetId="5">#REF!</definedName>
    <definedName name="_28Excel_BuiltIn_Print_Area_112_1" localSheetId="1">#REF!</definedName>
    <definedName name="_28Excel_BuiltIn_Print_Area_112_1" localSheetId="0">#REF!</definedName>
    <definedName name="_28Excel_BuiltIn_Print_Area_112_1" localSheetId="4">#REF!</definedName>
    <definedName name="_28Excel_BuiltIn_Print_Area_112_1">#REF!</definedName>
    <definedName name="_28Excel_BuiltIn_Print_Area_34_1" localSheetId="3">#REF!</definedName>
    <definedName name="_28Excel_BuiltIn_Print_Area_34_1" localSheetId="2">#REF!</definedName>
    <definedName name="_28Excel_BuiltIn_Print_Area_34_1" localSheetId="5">#REF!</definedName>
    <definedName name="_28Excel_BuiltIn_Print_Area_34_1" localSheetId="1">#REF!</definedName>
    <definedName name="_28Excel_BuiltIn_Print_Area_34_1" localSheetId="0">#REF!</definedName>
    <definedName name="_28Excel_BuiltIn_Print_Area_34_1" localSheetId="4">#REF!</definedName>
    <definedName name="_28Excel_BuiltIn_Print_Area_34_1">#REF!</definedName>
    <definedName name="_290Excel_BuiltIn_Print_Area_91_1">[14]LMCP_DX_FCU_H_G_1!$A$1:$R$30</definedName>
    <definedName name="_292Excel_BuiltIn_Print_Area_92_1" localSheetId="3">[16]LMCP_DX_FCU_H_LG_1!$A$1:$R$32</definedName>
    <definedName name="_292Excel_BuiltIn_Print_Area_92_1" localSheetId="2">[16]LMCP_DX_FCU_H_LG_1!$A$1:$R$32</definedName>
    <definedName name="_292Excel_BuiltIn_Print_Area_92_1" localSheetId="5">[16]LMCP_DX_FCU_H_LG_1!$A$1:$R$32</definedName>
    <definedName name="_292Excel_BuiltIn_Print_Area_92_1" localSheetId="1">[16]LMCP_DX_FCU_H_LG_1!$A$1:$R$32</definedName>
    <definedName name="_292Excel_BuiltIn_Print_Area_92_1" localSheetId="4">[16]LMCP_DX_FCU_H_LG_1!$A$1:$R$32</definedName>
    <definedName name="_295Excel_BuiltIn_Print_Area_92_1">[14]LMCP_DX_FCU_H_LG_1!$A$1:$R$32</definedName>
    <definedName name="_297Excel_BuiltIn_Print_Area_93_1" localSheetId="3">[16]LMCP_DX_FCU_H_LG_2!$A$1:$R$30</definedName>
    <definedName name="_297Excel_BuiltIn_Print_Area_93_1" localSheetId="2">[16]LMCP_DX_FCU_H_LG_2!$A$1:$R$30</definedName>
    <definedName name="_297Excel_BuiltIn_Print_Area_93_1" localSheetId="5">[16]LMCP_DX_FCU_H_LG_2!$A$1:$R$30</definedName>
    <definedName name="_297Excel_BuiltIn_Print_Area_93_1" localSheetId="1">[16]LMCP_DX_FCU_H_LG_2!$A$1:$R$30</definedName>
    <definedName name="_297Excel_BuiltIn_Print_Area_93_1" localSheetId="4">[16]LMCP_DX_FCU_H_LG_2!$A$1:$R$30</definedName>
    <definedName name="_29Excel_BuiltIn_Print_Area_12_1" localSheetId="3">#REF!</definedName>
    <definedName name="_29Excel_BuiltIn_Print_Area_12_1" localSheetId="2">#REF!</definedName>
    <definedName name="_29Excel_BuiltIn_Print_Area_12_1" localSheetId="5">#REF!</definedName>
    <definedName name="_29Excel_BuiltIn_Print_Area_12_1" localSheetId="1">#REF!</definedName>
    <definedName name="_29Excel_BuiltIn_Print_Area_12_1" localSheetId="0">#REF!</definedName>
    <definedName name="_29Excel_BuiltIn_Print_Area_12_1" localSheetId="4">#REF!</definedName>
    <definedName name="_29Excel_BuiltIn_Print_Area_12_1">#REF!</definedName>
    <definedName name="_29Excel_BuiltIn_Print_Area_35_1">[3]MCPE_H_G_1!$A$1:$S$33</definedName>
    <definedName name="_2Excel_BuiltIn_Print_Area_10_1" localSheetId="3">#REF!</definedName>
    <definedName name="_2Excel_BuiltIn_Print_Area_10_1" localSheetId="2">#REF!</definedName>
    <definedName name="_2Excel_BuiltIn_Print_Area_10_1" localSheetId="5">#REF!</definedName>
    <definedName name="_2Excel_BuiltIn_Print_Area_10_1" localSheetId="1">#REF!</definedName>
    <definedName name="_2Excel_BuiltIn_Print_Area_10_1" localSheetId="4">#REF!</definedName>
    <definedName name="_2Excel_BuiltIn_Print_Area_100_1" localSheetId="3">#REF!</definedName>
    <definedName name="_2Excel_BuiltIn_Print_Area_100_1" localSheetId="2">#REF!</definedName>
    <definedName name="_2Excel_BuiltIn_Print_Area_100_1" localSheetId="5">#REF!</definedName>
    <definedName name="_2Excel_BuiltIn_Print_Area_100_1" localSheetId="1">#REF!</definedName>
    <definedName name="_2Excel_BuiltIn_Print_Area_100_1" localSheetId="0">#REF!</definedName>
    <definedName name="_2Excel_BuiltIn_Print_Area_100_1" localSheetId="4">#REF!</definedName>
    <definedName name="_2Excel_BuiltIn_Print_Area_100_1">#REF!</definedName>
    <definedName name="_300Excel_BuiltIn_Print_Area_93_1">[14]LMCP_DX_FCU_H_LG_2!$A$1:$R$30</definedName>
    <definedName name="_302Excel_BuiltIn_Print_Area_94_1" localSheetId="3">[16]LMCP_DX_FCU_H_LGM_1!$A$1:$R$30</definedName>
    <definedName name="_302Excel_BuiltIn_Print_Area_94_1" localSheetId="2">[16]LMCP_DX_FCU_H_LGM_1!$A$1:$R$30</definedName>
    <definedName name="_302Excel_BuiltIn_Print_Area_94_1" localSheetId="5">[16]LMCP_DX_FCU_H_LGM_1!$A$1:$R$30</definedName>
    <definedName name="_302Excel_BuiltIn_Print_Area_94_1" localSheetId="1">[16]LMCP_DX_FCU_H_LGM_1!$A$1:$R$30</definedName>
    <definedName name="_302Excel_BuiltIn_Print_Area_94_1" localSheetId="4">[16]LMCP_DX_FCU_H_LGM_1!$A$1:$R$30</definedName>
    <definedName name="_305Excel_BuiltIn_Print_Area_94_1">[14]LMCP_DX_FCU_H_LGM_1!$A$1:$R$30</definedName>
    <definedName name="_307Excel_BuiltIn_Print_Area_95_1" localSheetId="3">[16]LMCP_DX_FCU_H_LGM_2!$A$1:$R$30</definedName>
    <definedName name="_307Excel_BuiltIn_Print_Area_95_1" localSheetId="2">[16]LMCP_DX_FCU_H_LGM_2!$A$1:$R$30</definedName>
    <definedName name="_307Excel_BuiltIn_Print_Area_95_1" localSheetId="5">[16]LMCP_DX_FCU_H_LGM_2!$A$1:$R$30</definedName>
    <definedName name="_307Excel_BuiltIn_Print_Area_95_1" localSheetId="1">[16]LMCP_DX_FCU_H_LGM_2!$A$1:$R$30</definedName>
    <definedName name="_307Excel_BuiltIn_Print_Area_95_1" localSheetId="4">[16]LMCP_DX_FCU_H_LGM_2!$A$1:$R$30</definedName>
    <definedName name="_30Excel_BuiltIn_Print_Area_11_1" localSheetId="3">#REF!</definedName>
    <definedName name="_30Excel_BuiltIn_Print_Area_11_1" localSheetId="2">#REF!</definedName>
    <definedName name="_30Excel_BuiltIn_Print_Area_11_1" localSheetId="5">#REF!</definedName>
    <definedName name="_30Excel_BuiltIn_Print_Area_11_1" localSheetId="1">#REF!</definedName>
    <definedName name="_30Excel_BuiltIn_Print_Area_11_1" localSheetId="0">#REF!</definedName>
    <definedName name="_30Excel_BuiltIn_Print_Area_11_1" localSheetId="4">#REF!</definedName>
    <definedName name="_30Excel_BuiltIn_Print_Area_11_1">#REF!</definedName>
    <definedName name="_30Excel_BuiltIn_Print_Area_13_1" localSheetId="3">#REF!</definedName>
    <definedName name="_30Excel_BuiltIn_Print_Area_13_1" localSheetId="2">#REF!</definedName>
    <definedName name="_30Excel_BuiltIn_Print_Area_13_1" localSheetId="5">#REF!</definedName>
    <definedName name="_30Excel_BuiltIn_Print_Area_13_1" localSheetId="1">#REF!</definedName>
    <definedName name="_30Excel_BuiltIn_Print_Area_13_1" localSheetId="0">#REF!</definedName>
    <definedName name="_30Excel_BuiltIn_Print_Area_13_1" localSheetId="4">#REF!</definedName>
    <definedName name="_30Excel_BuiltIn_Print_Area_13_1">#REF!</definedName>
    <definedName name="_30Excel_BuiltIn_Print_Area_36_1" localSheetId="3">#REF!</definedName>
    <definedName name="_30Excel_BuiltIn_Print_Area_36_1" localSheetId="2">#REF!</definedName>
    <definedName name="_30Excel_BuiltIn_Print_Area_36_1" localSheetId="5">#REF!</definedName>
    <definedName name="_30Excel_BuiltIn_Print_Area_36_1" localSheetId="1">#REF!</definedName>
    <definedName name="_30Excel_BuiltIn_Print_Area_36_1" localSheetId="0">#REF!</definedName>
    <definedName name="_30Excel_BuiltIn_Print_Area_36_1" localSheetId="4">#REF!</definedName>
    <definedName name="_30Excel_BuiltIn_Print_Area_36_1">#REF!</definedName>
    <definedName name="_310Excel_BuiltIn_Print_Area_95_1">[14]LMCP_DX_FCU_H_LGM_2!$A$1:$R$30</definedName>
    <definedName name="_312Excel_BuiltIn_Print_Area_96_1" localSheetId="3">#REF!</definedName>
    <definedName name="_312Excel_BuiltIn_Print_Area_96_1" localSheetId="2">#REF!</definedName>
    <definedName name="_312Excel_BuiltIn_Print_Area_96_1" localSheetId="5">#REF!</definedName>
    <definedName name="_312Excel_BuiltIn_Print_Area_96_1" localSheetId="1">#REF!</definedName>
    <definedName name="_312Excel_BuiltIn_Print_Area_96_1" localSheetId="4">#REF!</definedName>
    <definedName name="_315Excel_BuiltIn_Print_Area_96_1" localSheetId="3">#REF!</definedName>
    <definedName name="_315Excel_BuiltIn_Print_Area_96_1" localSheetId="2">#REF!</definedName>
    <definedName name="_315Excel_BuiltIn_Print_Area_96_1" localSheetId="5">#REF!</definedName>
    <definedName name="_315Excel_BuiltIn_Print_Area_96_1" localSheetId="1">#REF!</definedName>
    <definedName name="_315Excel_BuiltIn_Print_Area_96_1" localSheetId="0">#REF!</definedName>
    <definedName name="_315Excel_BuiltIn_Print_Area_96_1" localSheetId="4">#REF!</definedName>
    <definedName name="_315Excel_BuiltIn_Print_Area_96_1">#REF!</definedName>
    <definedName name="_317Excel_BuiltIn_Print_Area_97_1" localSheetId="3">#REF!</definedName>
    <definedName name="_317Excel_BuiltIn_Print_Area_97_1" localSheetId="2">#REF!</definedName>
    <definedName name="_317Excel_BuiltIn_Print_Area_97_1" localSheetId="5">#REF!</definedName>
    <definedName name="_317Excel_BuiltIn_Print_Area_97_1" localSheetId="1">#REF!</definedName>
    <definedName name="_317Excel_BuiltIn_Print_Area_97_1" localSheetId="4">#REF!</definedName>
    <definedName name="_31Excel_BuiltIn_Print_Area_14_1" localSheetId="3">#REF!</definedName>
    <definedName name="_31Excel_BuiltIn_Print_Area_14_1" localSheetId="2">#REF!</definedName>
    <definedName name="_31Excel_BuiltIn_Print_Area_14_1" localSheetId="5">#REF!</definedName>
    <definedName name="_31Excel_BuiltIn_Print_Area_14_1" localSheetId="1">#REF!</definedName>
    <definedName name="_31Excel_BuiltIn_Print_Area_14_1" localSheetId="0">#REF!</definedName>
    <definedName name="_31Excel_BuiltIn_Print_Area_14_1" localSheetId="4">#REF!</definedName>
    <definedName name="_31Excel_BuiltIn_Print_Area_14_1">#REF!</definedName>
    <definedName name="_31Excel_BuiltIn_Print_Area_37_1">[3]LMCP_SPF_H_G_2!$A$1:$S$33</definedName>
    <definedName name="_320Excel_BuiltIn_Print_Area_97_1" localSheetId="3">#REF!</definedName>
    <definedName name="_320Excel_BuiltIn_Print_Area_97_1" localSheetId="2">#REF!</definedName>
    <definedName name="_320Excel_BuiltIn_Print_Area_97_1" localSheetId="5">#REF!</definedName>
    <definedName name="_320Excel_BuiltIn_Print_Area_97_1" localSheetId="1">#REF!</definedName>
    <definedName name="_320Excel_BuiltIn_Print_Area_97_1" localSheetId="0">#REF!</definedName>
    <definedName name="_320Excel_BuiltIn_Print_Area_97_1" localSheetId="4">#REF!</definedName>
    <definedName name="_320Excel_BuiltIn_Print_Area_97_1">#REF!</definedName>
    <definedName name="_322Excel_BuiltIn_Print_Area_98_1" localSheetId="3">#REF!</definedName>
    <definedName name="_322Excel_BuiltIn_Print_Area_98_1" localSheetId="2">#REF!</definedName>
    <definedName name="_322Excel_BuiltIn_Print_Area_98_1" localSheetId="5">#REF!</definedName>
    <definedName name="_322Excel_BuiltIn_Print_Area_98_1" localSheetId="1">#REF!</definedName>
    <definedName name="_322Excel_BuiltIn_Print_Area_98_1" localSheetId="4">#REF!</definedName>
    <definedName name="_325Excel_BuiltIn_Print_Area_98_1" localSheetId="3">#REF!</definedName>
    <definedName name="_325Excel_BuiltIn_Print_Area_98_1" localSheetId="2">#REF!</definedName>
    <definedName name="_325Excel_BuiltIn_Print_Area_98_1" localSheetId="5">#REF!</definedName>
    <definedName name="_325Excel_BuiltIn_Print_Area_98_1" localSheetId="1">#REF!</definedName>
    <definedName name="_325Excel_BuiltIn_Print_Area_98_1" localSheetId="0">#REF!</definedName>
    <definedName name="_325Excel_BuiltIn_Print_Area_98_1" localSheetId="4">#REF!</definedName>
    <definedName name="_325Excel_BuiltIn_Print_Area_98_1">#REF!</definedName>
    <definedName name="_327Excel_BuiltIn_Print_Area_99_1" localSheetId="3">#REF!</definedName>
    <definedName name="_327Excel_BuiltIn_Print_Area_99_1" localSheetId="2">#REF!</definedName>
    <definedName name="_327Excel_BuiltIn_Print_Area_99_1" localSheetId="5">#REF!</definedName>
    <definedName name="_327Excel_BuiltIn_Print_Area_99_1" localSheetId="1">#REF!</definedName>
    <definedName name="_327Excel_BuiltIn_Print_Area_99_1" localSheetId="4">#REF!</definedName>
    <definedName name="_32Excel_BuiltIn_Print_Area_112_1" localSheetId="3">#REF!</definedName>
    <definedName name="_32Excel_BuiltIn_Print_Area_112_1" localSheetId="2">#REF!</definedName>
    <definedName name="_32Excel_BuiltIn_Print_Area_112_1" localSheetId="5">#REF!</definedName>
    <definedName name="_32Excel_BuiltIn_Print_Area_112_1" localSheetId="1">#REF!</definedName>
    <definedName name="_32Excel_BuiltIn_Print_Area_112_1" localSheetId="4">#REF!</definedName>
    <definedName name="_32Excel_BuiltIn_Print_Area_15_1">[3]MCP_H_LG_1!$A$1:$S$33</definedName>
    <definedName name="_32Excel_BuiltIn_Print_Area_38_1" localSheetId="3">[2]LMCP_LPF_GT_GM_1!$A$1:$R$33</definedName>
    <definedName name="_32Excel_BuiltIn_Print_Area_38_1" localSheetId="2">[2]LMCP_LPF_GT_GM_1!$A$1:$R$33</definedName>
    <definedName name="_32Excel_BuiltIn_Print_Area_38_1" localSheetId="5">[2]LMCP_LPF_GT_GM_1!$A$1:$R$33</definedName>
    <definedName name="_32Excel_BuiltIn_Print_Area_38_1" localSheetId="1">[2]LMCP_LPF_GT_GM_1!$A$1:$R$33</definedName>
    <definedName name="_32Excel_BuiltIn_Print_Area_38_1" localSheetId="4">[2]LMCP_LPF_GT_GM_1!$A$1:$R$33</definedName>
    <definedName name="_32Excel_BuiltIn_Print_Area_38_1">[2]LMCP_LPF_GT_GM_1!$A$1:$R$33</definedName>
    <definedName name="_330Excel_BuiltIn_Print_Area_99_1" localSheetId="3">#REF!</definedName>
    <definedName name="_330Excel_BuiltIn_Print_Area_99_1" localSheetId="2">#REF!</definedName>
    <definedName name="_330Excel_BuiltIn_Print_Area_99_1" localSheetId="5">#REF!</definedName>
    <definedName name="_330Excel_BuiltIn_Print_Area_99_1" localSheetId="1">#REF!</definedName>
    <definedName name="_330Excel_BuiltIn_Print_Area_99_1" localSheetId="0">#REF!</definedName>
    <definedName name="_330Excel_BuiltIn_Print_Area_99_1" localSheetId="4">#REF!</definedName>
    <definedName name="_330Excel_BuiltIn_Print_Area_99_1">#REF!</definedName>
    <definedName name="_33Excel_BuiltIn_Print_Area_16_1">[3]LMCP_AHU_H_LG_1!$A$1:$S$33</definedName>
    <definedName name="_33Excel_BuiltIn_Print_Area_39_1" localSheetId="3">[2]MCPE_MG_R_1!$A$1:$R$34</definedName>
    <definedName name="_33Excel_BuiltIn_Print_Area_39_1" localSheetId="2">[2]MCPE_MG_R_1!$A$1:$R$34</definedName>
    <definedName name="_33Excel_BuiltIn_Print_Area_39_1" localSheetId="5">[2]MCPE_MG_R_1!$A$1:$R$34</definedName>
    <definedName name="_33Excel_BuiltIn_Print_Area_39_1" localSheetId="1">[2]MCPE_MG_R_1!$A$1:$R$34</definedName>
    <definedName name="_33Excel_BuiltIn_Print_Area_39_1" localSheetId="4">[2]MCPE_MG_R_1!$A$1:$R$34</definedName>
    <definedName name="_33Excel_BuiltIn_Print_Area_39_1">[2]MCPE_MG_R_1!$A$1:$R$34</definedName>
    <definedName name="_34Excel_BuiltIn_Print_Area_17_1" localSheetId="3">#REF!</definedName>
    <definedName name="_34Excel_BuiltIn_Print_Area_17_1" localSheetId="2">#REF!</definedName>
    <definedName name="_34Excel_BuiltIn_Print_Area_17_1" localSheetId="5">#REF!</definedName>
    <definedName name="_34Excel_BuiltIn_Print_Area_17_1" localSheetId="1">#REF!</definedName>
    <definedName name="_34Excel_BuiltIn_Print_Area_17_1" localSheetId="0">#REF!</definedName>
    <definedName name="_34Excel_BuiltIn_Print_Area_17_1" localSheetId="4">#REF!</definedName>
    <definedName name="_34Excel_BuiltIn_Print_Area_17_1">#REF!</definedName>
    <definedName name="_34Excel_BuiltIn_Print_Area_4_1" localSheetId="3">#REF!</definedName>
    <definedName name="_34Excel_BuiltIn_Print_Area_4_1" localSheetId="2">#REF!</definedName>
    <definedName name="_34Excel_BuiltIn_Print_Area_4_1" localSheetId="5">#REF!</definedName>
    <definedName name="_34Excel_BuiltIn_Print_Area_4_1" localSheetId="1">#REF!</definedName>
    <definedName name="_34Excel_BuiltIn_Print_Area_4_1" localSheetId="0">#REF!</definedName>
    <definedName name="_34Excel_BuiltIn_Print_Area_4_1" localSheetId="4">#REF!</definedName>
    <definedName name="_34Excel_BuiltIn_Print_Area_4_1">#REF!</definedName>
    <definedName name="_35Excel_BuiltIn_Print_Area_112_1" localSheetId="3">#REF!</definedName>
    <definedName name="_35Excel_BuiltIn_Print_Area_112_1" localSheetId="2">#REF!</definedName>
    <definedName name="_35Excel_BuiltIn_Print_Area_112_1" localSheetId="5">#REF!</definedName>
    <definedName name="_35Excel_BuiltIn_Print_Area_112_1" localSheetId="1">#REF!</definedName>
    <definedName name="_35Excel_BuiltIn_Print_Area_112_1" localSheetId="0">#REF!</definedName>
    <definedName name="_35Excel_BuiltIn_Print_Area_112_1" localSheetId="4">#REF!</definedName>
    <definedName name="_35Excel_BuiltIn_Print_Area_112_1">#REF!</definedName>
    <definedName name="_35Excel_BuiltIn_Print_Area_18_1" localSheetId="3">#REF!</definedName>
    <definedName name="_35Excel_BuiltIn_Print_Area_18_1" localSheetId="2">#REF!</definedName>
    <definedName name="_35Excel_BuiltIn_Print_Area_18_1" localSheetId="5">#REF!</definedName>
    <definedName name="_35Excel_BuiltIn_Print_Area_18_1" localSheetId="1">#REF!</definedName>
    <definedName name="_35Excel_BuiltIn_Print_Area_18_1" localSheetId="0">#REF!</definedName>
    <definedName name="_35Excel_BuiltIn_Print_Area_18_1" localSheetId="4">#REF!</definedName>
    <definedName name="_35Excel_BuiltIn_Print_Area_18_1">#REF!</definedName>
    <definedName name="_35Excel_BuiltIn_Print_Area_40_1" localSheetId="3">[2]LMCP_SEF_GT_RD_1!$A$1:$R$32</definedName>
    <definedName name="_35Excel_BuiltIn_Print_Area_40_1" localSheetId="2">[2]LMCP_SEF_GT_RD_1!$A$1:$R$32</definedName>
    <definedName name="_35Excel_BuiltIn_Print_Area_40_1" localSheetId="5">[2]LMCP_SEF_GT_RD_1!$A$1:$R$32</definedName>
    <definedName name="_35Excel_BuiltIn_Print_Area_40_1" localSheetId="1">[2]LMCP_SEF_GT_RD_1!$A$1:$R$32</definedName>
    <definedName name="_35Excel_BuiltIn_Print_Area_40_1" localSheetId="4">[2]LMCP_SEF_GT_RD_1!$A$1:$R$32</definedName>
    <definedName name="_35Excel_BuiltIn_Print_Area_40_1">[2]LMCP_SEF_GT_RD_1!$A$1:$R$32</definedName>
    <definedName name="_36Excel_BuiltIn_Print_Area_12_1" localSheetId="3">#REF!</definedName>
    <definedName name="_36Excel_BuiltIn_Print_Area_12_1" localSheetId="2">#REF!</definedName>
    <definedName name="_36Excel_BuiltIn_Print_Area_12_1" localSheetId="5">#REF!</definedName>
    <definedName name="_36Excel_BuiltIn_Print_Area_12_1" localSheetId="1">#REF!</definedName>
    <definedName name="_36Excel_BuiltIn_Print_Area_12_1" localSheetId="0">#REF!</definedName>
    <definedName name="_36Excel_BuiltIn_Print_Area_12_1" localSheetId="4">#REF!</definedName>
    <definedName name="_36Excel_BuiltIn_Print_Area_12_1">#REF!</definedName>
    <definedName name="_36Excel_BuiltIn_Print_Area_19_1" localSheetId="3">#REF!</definedName>
    <definedName name="_36Excel_BuiltIn_Print_Area_19_1" localSheetId="2">#REF!</definedName>
    <definedName name="_36Excel_BuiltIn_Print_Area_19_1" localSheetId="5">#REF!</definedName>
    <definedName name="_36Excel_BuiltIn_Print_Area_19_1" localSheetId="1">#REF!</definedName>
    <definedName name="_36Excel_BuiltIn_Print_Area_19_1" localSheetId="0">#REF!</definedName>
    <definedName name="_36Excel_BuiltIn_Print_Area_19_1" localSheetId="4">#REF!</definedName>
    <definedName name="_36Excel_BuiltIn_Print_Area_19_1">#REF!</definedName>
    <definedName name="_36Excel_BuiltIn_Print_Area_41_1" localSheetId="3">[2]LMCP_SPF_GT_RD_1!$A$1:$R$32</definedName>
    <definedName name="_36Excel_BuiltIn_Print_Area_41_1" localSheetId="2">[2]LMCP_SPF_GT_RD_1!$A$1:$R$32</definedName>
    <definedName name="_36Excel_BuiltIn_Print_Area_41_1" localSheetId="5">[2]LMCP_SPF_GT_RD_1!$A$1:$R$32</definedName>
    <definedName name="_36Excel_BuiltIn_Print_Area_41_1" localSheetId="1">[2]LMCP_SPF_GT_RD_1!$A$1:$R$32</definedName>
    <definedName name="_36Excel_BuiltIn_Print_Area_41_1" localSheetId="4">[2]LMCP_SPF_GT_RD_1!$A$1:$R$32</definedName>
    <definedName name="_36Excel_BuiltIn_Print_Area_41_1">[2]LMCP_SPF_GT_RD_1!$A$1:$R$32</definedName>
    <definedName name="_37Excel_BuiltIn_Print_Area_13_1" localSheetId="3">#REF!</definedName>
    <definedName name="_37Excel_BuiltIn_Print_Area_13_1" localSheetId="2">#REF!</definedName>
    <definedName name="_37Excel_BuiltIn_Print_Area_13_1" localSheetId="5">#REF!</definedName>
    <definedName name="_37Excel_BuiltIn_Print_Area_13_1" localSheetId="1">#REF!</definedName>
    <definedName name="_37Excel_BuiltIn_Print_Area_13_1" localSheetId="0">#REF!</definedName>
    <definedName name="_37Excel_BuiltIn_Print_Area_13_1" localSheetId="4">#REF!</definedName>
    <definedName name="_37Excel_BuiltIn_Print_Area_13_1">#REF!</definedName>
    <definedName name="_37Excel_BuiltIn_Print_Area_23_1">'[3]LMCP_TEP_HA_B2_1 _ 1a'!$A$1:$S$33</definedName>
    <definedName name="_37Excel_BuiltIn_Print_Area_42_1" localSheetId="3">#REF!</definedName>
    <definedName name="_37Excel_BuiltIn_Print_Area_42_1" localSheetId="2">#REF!</definedName>
    <definedName name="_37Excel_BuiltIn_Print_Area_42_1" localSheetId="5">#REF!</definedName>
    <definedName name="_37Excel_BuiltIn_Print_Area_42_1" localSheetId="1">#REF!</definedName>
    <definedName name="_37Excel_BuiltIn_Print_Area_42_1" localSheetId="0">#REF!</definedName>
    <definedName name="_37Excel_BuiltIn_Print_Area_42_1" localSheetId="4">#REF!</definedName>
    <definedName name="_37Excel_BuiltIn_Print_Area_42_1">#REF!</definedName>
    <definedName name="_38Excel_BuiltIn_Print_Area_14_1" localSheetId="3">#REF!</definedName>
    <definedName name="_38Excel_BuiltIn_Print_Area_14_1" localSheetId="2">#REF!</definedName>
    <definedName name="_38Excel_BuiltIn_Print_Area_14_1" localSheetId="5">#REF!</definedName>
    <definedName name="_38Excel_BuiltIn_Print_Area_14_1" localSheetId="1">#REF!</definedName>
    <definedName name="_38Excel_BuiltIn_Print_Area_14_1" localSheetId="0">#REF!</definedName>
    <definedName name="_38Excel_BuiltIn_Print_Area_14_1" localSheetId="4">#REF!</definedName>
    <definedName name="_38Excel_BuiltIn_Print_Area_14_1">#REF!</definedName>
    <definedName name="_38Excel_BuiltIn_Print_Area_24_1">'[3]LMCP_KEP_HA_B2_1 _ 1a'!$A$1:$S$33</definedName>
    <definedName name="_38Excel_BuiltIn_Print_Area_43_1" localSheetId="3">#REF!</definedName>
    <definedName name="_38Excel_BuiltIn_Print_Area_43_1" localSheetId="2">#REF!</definedName>
    <definedName name="_38Excel_BuiltIn_Print_Area_43_1" localSheetId="5">#REF!</definedName>
    <definedName name="_38Excel_BuiltIn_Print_Area_43_1" localSheetId="1">#REF!</definedName>
    <definedName name="_38Excel_BuiltIn_Print_Area_43_1" localSheetId="0">#REF!</definedName>
    <definedName name="_38Excel_BuiltIn_Print_Area_43_1" localSheetId="4">#REF!</definedName>
    <definedName name="_38Excel_BuiltIn_Print_Area_43_1">#REF!</definedName>
    <definedName name="_39Excel_BuiltIn_Print_Area_15_1">[3]MCP_H_LG_1!$A$1:$S$33</definedName>
    <definedName name="_39Excel_BuiltIn_Print_Area_25_1">'[3]LMCP_TP_HA_B2_1 _ 1a'!$A$1:$S$33</definedName>
    <definedName name="_39Excel_BuiltIn_Print_Area_44_1" localSheetId="3">#REF!</definedName>
    <definedName name="_39Excel_BuiltIn_Print_Area_44_1" localSheetId="2">#REF!</definedName>
    <definedName name="_39Excel_BuiltIn_Print_Area_44_1" localSheetId="5">#REF!</definedName>
    <definedName name="_39Excel_BuiltIn_Print_Area_44_1" localSheetId="1">#REF!</definedName>
    <definedName name="_39Excel_BuiltIn_Print_Area_44_1" localSheetId="0">#REF!</definedName>
    <definedName name="_39Excel_BuiltIn_Print_Area_44_1" localSheetId="4">#REF!</definedName>
    <definedName name="_39Excel_BuiltIn_Print_Area_44_1">#REF!</definedName>
    <definedName name="_3Excel_BuiltIn_Print_Area_101_1" localSheetId="3">#REF!</definedName>
    <definedName name="_3Excel_BuiltIn_Print_Area_101_1" localSheetId="2">#REF!</definedName>
    <definedName name="_3Excel_BuiltIn_Print_Area_101_1" localSheetId="5">#REF!</definedName>
    <definedName name="_3Excel_BuiltIn_Print_Area_101_1" localSheetId="1">#REF!</definedName>
    <definedName name="_3Excel_BuiltIn_Print_Area_101_1" localSheetId="0">#REF!</definedName>
    <definedName name="_3Excel_BuiltIn_Print_Area_101_1" localSheetId="4">#REF!</definedName>
    <definedName name="_3Excel_BuiltIn_Print_Area_101_1">#REF!</definedName>
    <definedName name="_40Excel_BuiltIn_Print_Area_16_1">[3]LMCP_AHU_H_LG_1!$A$1:$S$33</definedName>
    <definedName name="_40Excel_BuiltIn_Print_Area_26_1">'[3]LMCP_TP_HA_B2_2 _ 2a'!$A$1:$S$33</definedName>
    <definedName name="_40Excel_BuiltIn_Print_Area_45_1" localSheetId="3">[2]LMCP_AHU_GT_LGM_1!$A$1:$R$32</definedName>
    <definedName name="_40Excel_BuiltIn_Print_Area_45_1" localSheetId="2">[2]LMCP_AHU_GT_LGM_1!$A$1:$R$32</definedName>
    <definedName name="_40Excel_BuiltIn_Print_Area_45_1" localSheetId="5">[2]LMCP_AHU_GT_LGM_1!$A$1:$R$32</definedName>
    <definedName name="_40Excel_BuiltIn_Print_Area_45_1" localSheetId="1">[2]LMCP_AHU_GT_LGM_1!$A$1:$R$32</definedName>
    <definedName name="_40Excel_BuiltIn_Print_Area_45_1" localSheetId="4">[2]LMCP_AHU_GT_LGM_1!$A$1:$R$32</definedName>
    <definedName name="_40Excel_BuiltIn_Print_Area_45_1">[2]LMCP_AHU_GT_LGM_1!$A$1:$R$32</definedName>
    <definedName name="_41Excel_BuiltIn_Print_Area_17_1" localSheetId="3">#REF!</definedName>
    <definedName name="_41Excel_BuiltIn_Print_Area_17_1" localSheetId="2">#REF!</definedName>
    <definedName name="_41Excel_BuiltIn_Print_Area_17_1" localSheetId="5">#REF!</definedName>
    <definedName name="_41Excel_BuiltIn_Print_Area_17_1" localSheetId="1">#REF!</definedName>
    <definedName name="_41Excel_BuiltIn_Print_Area_17_1" localSheetId="0">#REF!</definedName>
    <definedName name="_41Excel_BuiltIn_Print_Area_17_1" localSheetId="4">#REF!</definedName>
    <definedName name="_41Excel_BuiltIn_Print_Area_17_1">#REF!</definedName>
    <definedName name="_41Excel_BuiltIn_Print_Area_27_1">'[3]LMCP_HRP_H_B2_2 _ 2a'!$A$1:$S$33</definedName>
    <definedName name="_41Excel_BuiltIn_Print_Area_46_1" localSheetId="3">#REF!</definedName>
    <definedName name="_41Excel_BuiltIn_Print_Area_46_1" localSheetId="2">#REF!</definedName>
    <definedName name="_41Excel_BuiltIn_Print_Area_46_1" localSheetId="5">#REF!</definedName>
    <definedName name="_41Excel_BuiltIn_Print_Area_46_1" localSheetId="1">#REF!</definedName>
    <definedName name="_41Excel_BuiltIn_Print_Area_46_1" localSheetId="0">#REF!</definedName>
    <definedName name="_41Excel_BuiltIn_Print_Area_46_1" localSheetId="4">#REF!</definedName>
    <definedName name="_41Excel_BuiltIn_Print_Area_46_1">#REF!</definedName>
    <definedName name="_42Excel_BuiltIn_Print_Area_18_1" localSheetId="3">#REF!</definedName>
    <definedName name="_42Excel_BuiltIn_Print_Area_18_1" localSheetId="2">#REF!</definedName>
    <definedName name="_42Excel_BuiltIn_Print_Area_18_1" localSheetId="5">#REF!</definedName>
    <definedName name="_42Excel_BuiltIn_Print_Area_18_1" localSheetId="1">#REF!</definedName>
    <definedName name="_42Excel_BuiltIn_Print_Area_18_1" localSheetId="0">#REF!</definedName>
    <definedName name="_42Excel_BuiltIn_Print_Area_18_1" localSheetId="4">#REF!</definedName>
    <definedName name="_42Excel_BuiltIn_Print_Area_18_1">#REF!</definedName>
    <definedName name="_42Excel_BuiltIn_Print_Area_28_1">'[3]LMCP_HRP_H_B2_3 _ 3a'!$A$1:$S$33</definedName>
    <definedName name="_42Excel_BuiltIn_Print_Area_47_1" localSheetId="3">#REF!</definedName>
    <definedName name="_42Excel_BuiltIn_Print_Area_47_1" localSheetId="2">#REF!</definedName>
    <definedName name="_42Excel_BuiltIn_Print_Area_47_1" localSheetId="5">#REF!</definedName>
    <definedName name="_42Excel_BuiltIn_Print_Area_47_1" localSheetId="1">#REF!</definedName>
    <definedName name="_42Excel_BuiltIn_Print_Area_47_1" localSheetId="0">#REF!</definedName>
    <definedName name="_42Excel_BuiltIn_Print_Area_47_1" localSheetId="4">#REF!</definedName>
    <definedName name="_42Excel_BuiltIn_Print_Area_47_1">#REF!</definedName>
    <definedName name="_43Excel_BuiltIn_Print_Area_19_1" localSheetId="3">#REF!</definedName>
    <definedName name="_43Excel_BuiltIn_Print_Area_19_1" localSheetId="2">#REF!</definedName>
    <definedName name="_43Excel_BuiltIn_Print_Area_19_1" localSheetId="5">#REF!</definedName>
    <definedName name="_43Excel_BuiltIn_Print_Area_19_1" localSheetId="1">#REF!</definedName>
    <definedName name="_43Excel_BuiltIn_Print_Area_19_1" localSheetId="0">#REF!</definedName>
    <definedName name="_43Excel_BuiltIn_Print_Area_19_1" localSheetId="4">#REF!</definedName>
    <definedName name="_43Excel_BuiltIn_Print_Area_19_1">#REF!</definedName>
    <definedName name="_43Excel_BuiltIn_Print_Area_48_1" localSheetId="3">#REF!</definedName>
    <definedName name="_43Excel_BuiltIn_Print_Area_48_1" localSheetId="2">#REF!</definedName>
    <definedName name="_43Excel_BuiltIn_Print_Area_48_1" localSheetId="5">#REF!</definedName>
    <definedName name="_43Excel_BuiltIn_Print_Area_48_1" localSheetId="1">#REF!</definedName>
    <definedName name="_43Excel_BuiltIn_Print_Area_48_1" localSheetId="0">#REF!</definedName>
    <definedName name="_43Excel_BuiltIn_Print_Area_48_1" localSheetId="4">#REF!</definedName>
    <definedName name="_43Excel_BuiltIn_Print_Area_48_1">#REF!</definedName>
    <definedName name="_44Excel_BuiltIn_Print_Area_23_1">'[3]LMCP_TEP_HA_B2_1 _ 1a'!$A$1:$S$33</definedName>
    <definedName name="_44Excel_BuiltIn_Print_Area_49_1" localSheetId="3">#REF!</definedName>
    <definedName name="_44Excel_BuiltIn_Print_Area_49_1" localSheetId="2">#REF!</definedName>
    <definedName name="_44Excel_BuiltIn_Print_Area_49_1" localSheetId="5">#REF!</definedName>
    <definedName name="_44Excel_BuiltIn_Print_Area_49_1" localSheetId="1">#REF!</definedName>
    <definedName name="_44Excel_BuiltIn_Print_Area_49_1" localSheetId="0">#REF!</definedName>
    <definedName name="_44Excel_BuiltIn_Print_Area_49_1" localSheetId="4">#REF!</definedName>
    <definedName name="_44Excel_BuiltIn_Print_Area_49_1">#REF!</definedName>
    <definedName name="_45Excel_BuiltIn_Print_Area_24_1">'[3]LMCP_KEP_HA_B2_1 _ 1a'!$A$1:$S$33</definedName>
    <definedName name="_45Excel_BuiltIn_Print_Area_5_1" localSheetId="3">#REF!</definedName>
    <definedName name="_45Excel_BuiltIn_Print_Area_5_1" localSheetId="2">#REF!</definedName>
    <definedName name="_45Excel_BuiltIn_Print_Area_5_1" localSheetId="5">#REF!</definedName>
    <definedName name="_45Excel_BuiltIn_Print_Area_5_1" localSheetId="1">#REF!</definedName>
    <definedName name="_45Excel_BuiltIn_Print_Area_5_1" localSheetId="0">#REF!</definedName>
    <definedName name="_45Excel_BuiltIn_Print_Area_5_1" localSheetId="4">#REF!</definedName>
    <definedName name="_45Excel_BuiltIn_Print_Area_5_1">#REF!</definedName>
    <definedName name="_46Excel_BuiltIn_Print_Area_25_1">'[3]LMCP_TP_HA_B2_1 _ 1a'!$A$1:$S$33</definedName>
    <definedName name="_46Excel_BuiltIn_Print_Area_29_1" localSheetId="3">#REF!</definedName>
    <definedName name="_46Excel_BuiltIn_Print_Area_29_1" localSheetId="2">#REF!</definedName>
    <definedName name="_46Excel_BuiltIn_Print_Area_29_1" localSheetId="5">#REF!</definedName>
    <definedName name="_46Excel_BuiltIn_Print_Area_29_1" localSheetId="1">#REF!</definedName>
    <definedName name="_46Excel_BuiltIn_Print_Area_29_1" localSheetId="0">#REF!</definedName>
    <definedName name="_46Excel_BuiltIn_Print_Area_29_1" localSheetId="4">#REF!</definedName>
    <definedName name="_46Excel_BuiltIn_Print_Area_29_1">#REF!</definedName>
    <definedName name="_46Excel_BuiltIn_Print_Area_54_1" localSheetId="3">[4]MCP_H_5_1!$A$1:$S$33</definedName>
    <definedName name="_46Excel_BuiltIn_Print_Area_54_1" localSheetId="2">[4]MCP_H_5_1!$A$1:$S$33</definedName>
    <definedName name="_46Excel_BuiltIn_Print_Area_54_1" localSheetId="5">[4]MCP_H_5_1!$A$1:$S$33</definedName>
    <definedName name="_46Excel_BuiltIn_Print_Area_54_1" localSheetId="1">[4]MCP_H_5_1!$A$1:$S$33</definedName>
    <definedName name="_46Excel_BuiltIn_Print_Area_54_1" localSheetId="4">[4]MCP_H_5_1!$A$1:$S$33</definedName>
    <definedName name="_46Excel_BuiltIn_Print_Area_54_1">[4]MCP_H_5_1!$A$1:$S$33</definedName>
    <definedName name="_47Excel_BuiltIn_Print_Area_26_1">'[3]LMCP_TP_HA_B2_2 _ 2a'!$A$1:$S$33</definedName>
    <definedName name="_47Excel_BuiltIn_Print_Area_55_1" localSheetId="3">[4]LMCP_PAU_H_5_1!$A$1:$S$33</definedName>
    <definedName name="_47Excel_BuiltIn_Print_Area_55_1" localSheetId="2">[4]LMCP_PAU_H_5_1!$A$1:$S$33</definedName>
    <definedName name="_47Excel_BuiltIn_Print_Area_55_1" localSheetId="5">[4]LMCP_PAU_H_5_1!$A$1:$S$33</definedName>
    <definedName name="_47Excel_BuiltIn_Print_Area_55_1" localSheetId="1">[4]LMCP_PAU_H_5_1!$A$1:$S$33</definedName>
    <definedName name="_47Excel_BuiltIn_Print_Area_55_1" localSheetId="4">[4]LMCP_PAU_H_5_1!$A$1:$S$33</definedName>
    <definedName name="_47Excel_BuiltIn_Print_Area_55_1">[4]LMCP_PAU_H_5_1!$A$1:$S$33</definedName>
    <definedName name="_48Excel_BuiltIn_Print_Area_27_1">'[3]LMCP_HRP_H_B2_2 _ 2a'!$A$1:$S$33</definedName>
    <definedName name="_48Excel_BuiltIn_Print_Area_56_1" localSheetId="3">[4]LMCP_AHU_H_4_1!$A$1:$S$33</definedName>
    <definedName name="_48Excel_BuiltIn_Print_Area_56_1" localSheetId="2">[4]LMCP_AHU_H_4_1!$A$1:$S$33</definedName>
    <definedName name="_48Excel_BuiltIn_Print_Area_56_1" localSheetId="5">[4]LMCP_AHU_H_4_1!$A$1:$S$33</definedName>
    <definedName name="_48Excel_BuiltIn_Print_Area_56_1" localSheetId="1">[4]LMCP_AHU_H_4_1!$A$1:$S$33</definedName>
    <definedName name="_48Excel_BuiltIn_Print_Area_56_1" localSheetId="4">[4]LMCP_AHU_H_4_1!$A$1:$S$33</definedName>
    <definedName name="_48Excel_BuiltIn_Print_Area_56_1">[4]LMCP_AHU_H_4_1!$A$1:$S$33</definedName>
    <definedName name="_49Excel_BuiltIn_Print_Area_28_1">'[3]LMCP_HRP_H_B2_3 _ 3a'!$A$1:$S$33</definedName>
    <definedName name="_49Excel_BuiltIn_Print_Area_57_1" localSheetId="3">[4]LMCP_KEF_H_LGM_1!$A$1:$S$33</definedName>
    <definedName name="_49Excel_BuiltIn_Print_Area_57_1" localSheetId="2">[4]LMCP_KEF_H_LGM_1!$A$1:$S$33</definedName>
    <definedName name="_49Excel_BuiltIn_Print_Area_57_1" localSheetId="5">[4]LMCP_KEF_H_LGM_1!$A$1:$S$33</definedName>
    <definedName name="_49Excel_BuiltIn_Print_Area_57_1" localSheetId="1">[4]LMCP_KEF_H_LGM_1!$A$1:$S$33</definedName>
    <definedName name="_49Excel_BuiltIn_Print_Area_57_1" localSheetId="4">[4]LMCP_KEF_H_LGM_1!$A$1:$S$33</definedName>
    <definedName name="_49Excel_BuiltIn_Print_Area_57_1">[4]LMCP_KEF_H_LGM_1!$A$1:$S$33</definedName>
    <definedName name="_4Excel_BuiltIn_Print_Area_10_1" localSheetId="3">#REF!</definedName>
    <definedName name="_4Excel_BuiltIn_Print_Area_10_1" localSheetId="2">#REF!</definedName>
    <definedName name="_4Excel_BuiltIn_Print_Area_10_1" localSheetId="5">#REF!</definedName>
    <definedName name="_4Excel_BuiltIn_Print_Area_10_1" localSheetId="1">#REF!</definedName>
    <definedName name="_4Excel_BuiltIn_Print_Area_10_1" localSheetId="0">#REF!</definedName>
    <definedName name="_4Excel_BuiltIn_Print_Area_10_1" localSheetId="4">#REF!</definedName>
    <definedName name="_4Excel_BuiltIn_Print_Area_10_1">#REF!</definedName>
    <definedName name="_4Excel_BuiltIn_Print_Area_102_1" localSheetId="3">#REF!</definedName>
    <definedName name="_4Excel_BuiltIn_Print_Area_102_1" localSheetId="2">#REF!</definedName>
    <definedName name="_4Excel_BuiltIn_Print_Area_102_1" localSheetId="5">#REF!</definedName>
    <definedName name="_4Excel_BuiltIn_Print_Area_102_1" localSheetId="1">#REF!</definedName>
    <definedName name="_4Excel_BuiltIn_Print_Area_102_1" localSheetId="0">#REF!</definedName>
    <definedName name="_4Excel_BuiltIn_Print_Area_102_1" localSheetId="4">#REF!</definedName>
    <definedName name="_4Excel_BuiltIn_Print_Area_102_1">#REF!</definedName>
    <definedName name="_50Excel_BuiltIn_Print_Area_3_1" localSheetId="3">#REF!</definedName>
    <definedName name="_50Excel_BuiltIn_Print_Area_3_1" localSheetId="2">#REF!</definedName>
    <definedName name="_50Excel_BuiltIn_Print_Area_3_1" localSheetId="5">#REF!</definedName>
    <definedName name="_50Excel_BuiltIn_Print_Area_3_1" localSheetId="1">#REF!</definedName>
    <definedName name="_50Excel_BuiltIn_Print_Area_3_1" localSheetId="0">#REF!</definedName>
    <definedName name="_50Excel_BuiltIn_Print_Area_3_1" localSheetId="4">#REF!</definedName>
    <definedName name="_50Excel_BuiltIn_Print_Area_3_1">#REF!</definedName>
    <definedName name="_50Excel_BuiltIn_Print_Area_58_1" localSheetId="3">#REF!</definedName>
    <definedName name="_50Excel_BuiltIn_Print_Area_58_1" localSheetId="2">#REF!</definedName>
    <definedName name="_50Excel_BuiltIn_Print_Area_58_1" localSheetId="5">#REF!</definedName>
    <definedName name="_50Excel_BuiltIn_Print_Area_58_1" localSheetId="1">#REF!</definedName>
    <definedName name="_50Excel_BuiltIn_Print_Area_58_1" localSheetId="0">#REF!</definedName>
    <definedName name="_50Excel_BuiltIn_Print_Area_58_1" localSheetId="4">#REF!</definedName>
    <definedName name="_50Excel_BuiltIn_Print_Area_58_1">#REF!</definedName>
    <definedName name="_51Excel_BuiltIn_Print_Area_29_1" localSheetId="3">#REF!</definedName>
    <definedName name="_51Excel_BuiltIn_Print_Area_29_1" localSheetId="2">#REF!</definedName>
    <definedName name="_51Excel_BuiltIn_Print_Area_29_1" localSheetId="5">#REF!</definedName>
    <definedName name="_51Excel_BuiltIn_Print_Area_29_1" localSheetId="1">#REF!</definedName>
    <definedName name="_51Excel_BuiltIn_Print_Area_29_1" localSheetId="4">#REF!</definedName>
    <definedName name="_51Excel_BuiltIn_Print_Area_30_1">'[3]LMCP_FWP_H_B2_1 _ 1a'!$A$1:$S$33</definedName>
    <definedName name="_51Excel_BuiltIn_Print_Area_59_1" localSheetId="3">#REF!</definedName>
    <definedName name="_51Excel_BuiltIn_Print_Area_59_1" localSheetId="2">#REF!</definedName>
    <definedName name="_51Excel_BuiltIn_Print_Area_59_1" localSheetId="5">#REF!</definedName>
    <definedName name="_51Excel_BuiltIn_Print_Area_59_1" localSheetId="1">#REF!</definedName>
    <definedName name="_51Excel_BuiltIn_Print_Area_59_1" localSheetId="0">#REF!</definedName>
    <definedName name="_51Excel_BuiltIn_Print_Area_59_1" localSheetId="4">#REF!</definedName>
    <definedName name="_51Excel_BuiltIn_Print_Area_59_1">#REF!</definedName>
    <definedName name="_52Excel_BuiltIn_Print_Area_31_1">'[3]LMCP_FWP_H_B2_2 _ 2a'!$A$1:$S$33</definedName>
    <definedName name="_52Excel_BuiltIn_Print_Area_6_1" localSheetId="3">#REF!</definedName>
    <definedName name="_52Excel_BuiltIn_Print_Area_6_1" localSheetId="2">#REF!</definedName>
    <definedName name="_52Excel_BuiltIn_Print_Area_6_1" localSheetId="5">#REF!</definedName>
    <definedName name="_52Excel_BuiltIn_Print_Area_6_1" localSheetId="1">#REF!</definedName>
    <definedName name="_52Excel_BuiltIn_Print_Area_6_1" localSheetId="0">#REF!</definedName>
    <definedName name="_52Excel_BuiltIn_Print_Area_6_1" localSheetId="4">#REF!</definedName>
    <definedName name="_52Excel_BuiltIn_Print_Area_6_1">#REF!</definedName>
    <definedName name="_53Excel_BuiltIn_Print_Area_60_1" localSheetId="3">#REF!</definedName>
    <definedName name="_53Excel_BuiltIn_Print_Area_60_1" localSheetId="2">#REF!</definedName>
    <definedName name="_53Excel_BuiltIn_Print_Area_60_1" localSheetId="5">#REF!</definedName>
    <definedName name="_53Excel_BuiltIn_Print_Area_60_1" localSheetId="1">#REF!</definedName>
    <definedName name="_53Excel_BuiltIn_Print_Area_60_1" localSheetId="0">#REF!</definedName>
    <definedName name="_53Excel_BuiltIn_Print_Area_60_1" localSheetId="4">#REF!</definedName>
    <definedName name="_53Excel_BuiltIn_Print_Area_60_1">#REF!</definedName>
    <definedName name="_54Excel_BuiltIn_Print_Area_29_1" localSheetId="3">#REF!</definedName>
    <definedName name="_54Excel_BuiltIn_Print_Area_29_1" localSheetId="2">#REF!</definedName>
    <definedName name="_54Excel_BuiltIn_Print_Area_29_1" localSheetId="5">#REF!</definedName>
    <definedName name="_54Excel_BuiltIn_Print_Area_29_1" localSheetId="1">#REF!</definedName>
    <definedName name="_54Excel_BuiltIn_Print_Area_29_1" localSheetId="0">#REF!</definedName>
    <definedName name="_54Excel_BuiltIn_Print_Area_29_1" localSheetId="4">#REF!</definedName>
    <definedName name="_54Excel_BuiltIn_Print_Area_29_1">#REF!</definedName>
    <definedName name="_54Excel_BuiltIn_Print_Area_61_1" localSheetId="3">#REF!</definedName>
    <definedName name="_54Excel_BuiltIn_Print_Area_61_1" localSheetId="2">#REF!</definedName>
    <definedName name="_54Excel_BuiltIn_Print_Area_61_1" localSheetId="5">#REF!</definedName>
    <definedName name="_54Excel_BuiltIn_Print_Area_61_1" localSheetId="1">#REF!</definedName>
    <definedName name="_54Excel_BuiltIn_Print_Area_61_1" localSheetId="0">#REF!</definedName>
    <definedName name="_54Excel_BuiltIn_Print_Area_61_1" localSheetId="4">#REF!</definedName>
    <definedName name="_54Excel_BuiltIn_Print_Area_61_1">#REF!</definedName>
    <definedName name="_55Excel_BuiltIn_Print_Area_62_1" localSheetId="3">#REF!</definedName>
    <definedName name="_55Excel_BuiltIn_Print_Area_62_1" localSheetId="2">#REF!</definedName>
    <definedName name="_55Excel_BuiltIn_Print_Area_62_1" localSheetId="5">#REF!</definedName>
    <definedName name="_55Excel_BuiltIn_Print_Area_62_1" localSheetId="1">#REF!</definedName>
    <definedName name="_55Excel_BuiltIn_Print_Area_62_1" localSheetId="0">#REF!</definedName>
    <definedName name="_55Excel_BuiltIn_Print_Area_62_1" localSheetId="4">#REF!</definedName>
    <definedName name="_55Excel_BuiltIn_Print_Area_62_1">#REF!</definedName>
    <definedName name="_56Excel_BuiltIn_Print_Area_3_1" localSheetId="3">#REF!</definedName>
    <definedName name="_56Excel_BuiltIn_Print_Area_3_1" localSheetId="2">#REF!</definedName>
    <definedName name="_56Excel_BuiltIn_Print_Area_3_1" localSheetId="5">#REF!</definedName>
    <definedName name="_56Excel_BuiltIn_Print_Area_3_1" localSheetId="1">#REF!</definedName>
    <definedName name="_56Excel_BuiltIn_Print_Area_3_1" localSheetId="4">#REF!</definedName>
    <definedName name="_56Excel_BuiltIn_Print_Area_32_1" localSheetId="3">#REF!</definedName>
    <definedName name="_56Excel_BuiltIn_Print_Area_32_1" localSheetId="2">#REF!</definedName>
    <definedName name="_56Excel_BuiltIn_Print_Area_32_1" localSheetId="5">#REF!</definedName>
    <definedName name="_56Excel_BuiltIn_Print_Area_32_1" localSheetId="1">#REF!</definedName>
    <definedName name="_56Excel_BuiltIn_Print_Area_32_1" localSheetId="0">#REF!</definedName>
    <definedName name="_56Excel_BuiltIn_Print_Area_32_1" localSheetId="4">#REF!</definedName>
    <definedName name="_56Excel_BuiltIn_Print_Area_32_1">#REF!</definedName>
    <definedName name="_56Excel_BuiltIn_Print_Area_63_1" localSheetId="3">#REF!</definedName>
    <definedName name="_56Excel_BuiltIn_Print_Area_63_1" localSheetId="2">#REF!</definedName>
    <definedName name="_56Excel_BuiltIn_Print_Area_63_1" localSheetId="5">#REF!</definedName>
    <definedName name="_56Excel_BuiltIn_Print_Area_63_1" localSheetId="1">#REF!</definedName>
    <definedName name="_56Excel_BuiltIn_Print_Area_63_1" localSheetId="0">#REF!</definedName>
    <definedName name="_56Excel_BuiltIn_Print_Area_63_1" localSheetId="4">#REF!</definedName>
    <definedName name="_56Excel_BuiltIn_Print_Area_63_1">#REF!</definedName>
    <definedName name="_57Excel_BuiltIn_Print_Area_64_1">'[6]LMCP_H-TX_LG'!$A$1:$R$33</definedName>
    <definedName name="_58Excel_BuiltIn_Print_Area_65_1" localSheetId="3">#REF!</definedName>
    <definedName name="_58Excel_BuiltIn_Print_Area_65_1" localSheetId="2">#REF!</definedName>
    <definedName name="_58Excel_BuiltIn_Print_Area_65_1" localSheetId="5">#REF!</definedName>
    <definedName name="_58Excel_BuiltIn_Print_Area_65_1" localSheetId="1">#REF!</definedName>
    <definedName name="_58Excel_BuiltIn_Print_Area_65_1" localSheetId="0">#REF!</definedName>
    <definedName name="_58Excel_BuiltIn_Print_Area_65_1" localSheetId="4">#REF!</definedName>
    <definedName name="_58Excel_BuiltIn_Print_Area_65_1">#REF!</definedName>
    <definedName name="_59Excel_BuiltIn_Print_Area_3_1" localSheetId="3">#REF!</definedName>
    <definedName name="_59Excel_BuiltIn_Print_Area_3_1" localSheetId="2">#REF!</definedName>
    <definedName name="_59Excel_BuiltIn_Print_Area_3_1" localSheetId="5">#REF!</definedName>
    <definedName name="_59Excel_BuiltIn_Print_Area_3_1" localSheetId="1">#REF!</definedName>
    <definedName name="_59Excel_BuiltIn_Print_Area_3_1" localSheetId="0">#REF!</definedName>
    <definedName name="_59Excel_BuiltIn_Print_Area_3_1" localSheetId="4">#REF!</definedName>
    <definedName name="_59Excel_BuiltIn_Print_Area_3_1">#REF!</definedName>
    <definedName name="_59Excel_BuiltIn_Print_Area_66_1" localSheetId="3">#REF!</definedName>
    <definedName name="_59Excel_BuiltIn_Print_Area_66_1" localSheetId="2">#REF!</definedName>
    <definedName name="_59Excel_BuiltIn_Print_Area_66_1" localSheetId="5">#REF!</definedName>
    <definedName name="_59Excel_BuiltIn_Print_Area_66_1" localSheetId="1">#REF!</definedName>
    <definedName name="_59Excel_BuiltIn_Print_Area_66_1" localSheetId="0">#REF!</definedName>
    <definedName name="_59Excel_BuiltIn_Print_Area_66_1" localSheetId="4">#REF!</definedName>
    <definedName name="_59Excel_BuiltIn_Print_Area_66_1">#REF!</definedName>
    <definedName name="_5Excel_BuiltIn_Print_Area_10_1" localSheetId="3">#REF!</definedName>
    <definedName name="_5Excel_BuiltIn_Print_Area_10_1" localSheetId="2">#REF!</definedName>
    <definedName name="_5Excel_BuiltIn_Print_Area_10_1" localSheetId="5">#REF!</definedName>
    <definedName name="_5Excel_BuiltIn_Print_Area_10_1" localSheetId="1">#REF!</definedName>
    <definedName name="_5Excel_BuiltIn_Print_Area_10_1" localSheetId="0">#REF!</definedName>
    <definedName name="_5Excel_BuiltIn_Print_Area_10_1" localSheetId="4">#REF!</definedName>
    <definedName name="_5Excel_BuiltIn_Print_Area_10_1">#REF!</definedName>
    <definedName name="_5Excel_BuiltIn_Print_Area_103_1" localSheetId="3">#REF!</definedName>
    <definedName name="_5Excel_BuiltIn_Print_Area_103_1" localSheetId="2">#REF!</definedName>
    <definedName name="_5Excel_BuiltIn_Print_Area_103_1" localSheetId="5">#REF!</definedName>
    <definedName name="_5Excel_BuiltIn_Print_Area_103_1" localSheetId="1">#REF!</definedName>
    <definedName name="_5Excel_BuiltIn_Print_Area_103_1" localSheetId="0">#REF!</definedName>
    <definedName name="_5Excel_BuiltIn_Print_Area_103_1" localSheetId="4">#REF!</definedName>
    <definedName name="_5Excel_BuiltIn_Print_Area_103_1">#REF!</definedName>
    <definedName name="_60Excel_BuiltIn_Print_Area_30_1">'[3]LMCP_FWP_H_B2_1 _ 1a'!$A$1:$S$33</definedName>
    <definedName name="_60Excel_BuiltIn_Print_Area_33_1" localSheetId="3">#REF!</definedName>
    <definedName name="_60Excel_BuiltIn_Print_Area_33_1" localSheetId="2">#REF!</definedName>
    <definedName name="_60Excel_BuiltIn_Print_Area_33_1" localSheetId="5">#REF!</definedName>
    <definedName name="_60Excel_BuiltIn_Print_Area_33_1" localSheetId="1">#REF!</definedName>
    <definedName name="_60Excel_BuiltIn_Print_Area_33_1" localSheetId="0">#REF!</definedName>
    <definedName name="_60Excel_BuiltIn_Print_Area_33_1" localSheetId="4">#REF!</definedName>
    <definedName name="_60Excel_BuiltIn_Print_Area_33_1">#REF!</definedName>
    <definedName name="_60Excel_BuiltIn_Print_Area_67_1" localSheetId="3">#REF!</definedName>
    <definedName name="_60Excel_BuiltIn_Print_Area_67_1" localSheetId="2">#REF!</definedName>
    <definedName name="_60Excel_BuiltIn_Print_Area_67_1" localSheetId="5">#REF!</definedName>
    <definedName name="_60Excel_BuiltIn_Print_Area_67_1" localSheetId="1">#REF!</definedName>
    <definedName name="_60Excel_BuiltIn_Print_Area_67_1" localSheetId="0">#REF!</definedName>
    <definedName name="_60Excel_BuiltIn_Print_Area_67_1" localSheetId="4">#REF!</definedName>
    <definedName name="_60Excel_BuiltIn_Print_Area_67_1">#REF!</definedName>
    <definedName name="_61Excel_BuiltIn_Print_Area_31_1">'[3]LMCP_FWP_H_B2_2 _ 2a'!$A$1:$S$33</definedName>
    <definedName name="_61Excel_BuiltIn_Print_Area_68_1" localSheetId="3">[7]SB_MC_LG_1!$A$1:$R$32</definedName>
    <definedName name="_61Excel_BuiltIn_Print_Area_68_1" localSheetId="2">[7]SB_MC_LG_1!$A$1:$R$32</definedName>
    <definedName name="_61Excel_BuiltIn_Print_Area_68_1" localSheetId="5">[7]SB_MC_LG_1!$A$1:$R$32</definedName>
    <definedName name="_61Excel_BuiltIn_Print_Area_68_1" localSheetId="1">[7]SB_MC_LG_1!$A$1:$R$32</definedName>
    <definedName name="_61Excel_BuiltIn_Print_Area_68_1" localSheetId="4">[7]SB_MC_LG_1!$A$1:$R$32</definedName>
    <definedName name="_61Excel_BuiltIn_Print_Area_68_1">[7]SB_MC_LG_1!$A$1:$R$32</definedName>
    <definedName name="_62Excel_BuiltIn_Print_Area_69_1" localSheetId="3">#REF!</definedName>
    <definedName name="_62Excel_BuiltIn_Print_Area_69_1" localSheetId="2">#REF!</definedName>
    <definedName name="_62Excel_BuiltIn_Print_Area_69_1" localSheetId="5">#REF!</definedName>
    <definedName name="_62Excel_BuiltIn_Print_Area_69_1" localSheetId="1">#REF!</definedName>
    <definedName name="_62Excel_BuiltIn_Print_Area_69_1" localSheetId="0">#REF!</definedName>
    <definedName name="_62Excel_BuiltIn_Print_Area_69_1" localSheetId="4">#REF!</definedName>
    <definedName name="_62Excel_BuiltIn_Print_Area_69_1">#REF!</definedName>
    <definedName name="_63Excel_BuiltIn_Print_Area_32_1" localSheetId="3">#REF!</definedName>
    <definedName name="_63Excel_BuiltIn_Print_Area_32_1" localSheetId="2">#REF!</definedName>
    <definedName name="_63Excel_BuiltIn_Print_Area_32_1" localSheetId="5">#REF!</definedName>
    <definedName name="_63Excel_BuiltIn_Print_Area_32_1" localSheetId="1">#REF!</definedName>
    <definedName name="_63Excel_BuiltIn_Print_Area_32_1" localSheetId="4">#REF!</definedName>
    <definedName name="_63Excel_BuiltIn_Print_Area_7_1" localSheetId="3">[8]LMCP_CEF_LG_1!$A$1:$R$34</definedName>
    <definedName name="_63Excel_BuiltIn_Print_Area_7_1" localSheetId="2">[8]LMCP_CEF_LG_1!$A$1:$R$34</definedName>
    <definedName name="_63Excel_BuiltIn_Print_Area_7_1" localSheetId="5">[8]LMCP_CEF_LG_1!$A$1:$R$34</definedName>
    <definedName name="_63Excel_BuiltIn_Print_Area_7_1" localSheetId="1">[8]LMCP_CEF_LG_1!$A$1:$R$34</definedName>
    <definedName name="_63Excel_BuiltIn_Print_Area_7_1" localSheetId="4">[8]LMCP_CEF_LG_1!$A$1:$R$34</definedName>
    <definedName name="_63Excel_BuiltIn_Print_Area_7_1">[8]LMCP_CEF_LG_1!$A$1:$R$34</definedName>
    <definedName name="_64Excel_BuiltIn_Print_Area_34_1" localSheetId="3">#REF!</definedName>
    <definedName name="_64Excel_BuiltIn_Print_Area_34_1" localSheetId="2">#REF!</definedName>
    <definedName name="_64Excel_BuiltIn_Print_Area_34_1" localSheetId="5">#REF!</definedName>
    <definedName name="_64Excel_BuiltIn_Print_Area_34_1" localSheetId="1">#REF!</definedName>
    <definedName name="_64Excel_BuiltIn_Print_Area_34_1" localSheetId="0">#REF!</definedName>
    <definedName name="_64Excel_BuiltIn_Print_Area_34_1" localSheetId="4">#REF!</definedName>
    <definedName name="_64Excel_BuiltIn_Print_Area_34_1">#REF!</definedName>
    <definedName name="_64Excel_BuiltIn_Print_Area_70_1" localSheetId="3">#REF!</definedName>
    <definedName name="_64Excel_BuiltIn_Print_Area_70_1" localSheetId="2">#REF!</definedName>
    <definedName name="_64Excel_BuiltIn_Print_Area_70_1" localSheetId="5">#REF!</definedName>
    <definedName name="_64Excel_BuiltIn_Print_Area_70_1" localSheetId="1">#REF!</definedName>
    <definedName name="_64Excel_BuiltIn_Print_Area_70_1" localSheetId="0">#REF!</definedName>
    <definedName name="_64Excel_BuiltIn_Print_Area_70_1" localSheetId="4">#REF!</definedName>
    <definedName name="_64Excel_BuiltIn_Print_Area_70_1">#REF!</definedName>
    <definedName name="_65Excel_BuiltIn_Print_Area_35_1">[3]MCPE_H_G_1!$A$1:$S$33</definedName>
    <definedName name="_65Excel_BuiltIn_Print_Area_71_1" localSheetId="3">#REF!</definedName>
    <definedName name="_65Excel_BuiltIn_Print_Area_71_1" localSheetId="2">#REF!</definedName>
    <definedName name="_65Excel_BuiltIn_Print_Area_71_1" localSheetId="5">#REF!</definedName>
    <definedName name="_65Excel_BuiltIn_Print_Area_71_1" localSheetId="1">#REF!</definedName>
    <definedName name="_65Excel_BuiltIn_Print_Area_71_1" localSheetId="0">#REF!</definedName>
    <definedName name="_65Excel_BuiltIn_Print_Area_71_1" localSheetId="4">#REF!</definedName>
    <definedName name="_65Excel_BuiltIn_Print_Area_71_1">#REF!</definedName>
    <definedName name="_66Excel_BuiltIn_Print_Area_32_1" localSheetId="3">#REF!</definedName>
    <definedName name="_66Excel_BuiltIn_Print_Area_32_1" localSheetId="2">#REF!</definedName>
    <definedName name="_66Excel_BuiltIn_Print_Area_32_1" localSheetId="5">#REF!</definedName>
    <definedName name="_66Excel_BuiltIn_Print_Area_32_1" localSheetId="1">#REF!</definedName>
    <definedName name="_66Excel_BuiltIn_Print_Area_32_1" localSheetId="0">#REF!</definedName>
    <definedName name="_66Excel_BuiltIn_Print_Area_32_1" localSheetId="4">#REF!</definedName>
    <definedName name="_66Excel_BuiltIn_Print_Area_32_1">#REF!</definedName>
    <definedName name="_66Excel_BuiltIn_Print_Area_72_1" localSheetId="3">#REF!</definedName>
    <definedName name="_66Excel_BuiltIn_Print_Area_72_1" localSheetId="2">#REF!</definedName>
    <definedName name="_66Excel_BuiltIn_Print_Area_72_1" localSheetId="5">#REF!</definedName>
    <definedName name="_66Excel_BuiltIn_Print_Area_72_1" localSheetId="1">#REF!</definedName>
    <definedName name="_66Excel_BuiltIn_Print_Area_72_1" localSheetId="0">#REF!</definedName>
    <definedName name="_66Excel_BuiltIn_Print_Area_72_1" localSheetId="4">#REF!</definedName>
    <definedName name="_66Excel_BuiltIn_Print_Area_72_1">#REF!</definedName>
    <definedName name="_67Excel_BuiltIn_Print_Area_73_1" localSheetId="3">#REF!</definedName>
    <definedName name="_67Excel_BuiltIn_Print_Area_73_1" localSheetId="2">#REF!</definedName>
    <definedName name="_67Excel_BuiltIn_Print_Area_73_1" localSheetId="5">#REF!</definedName>
    <definedName name="_67Excel_BuiltIn_Print_Area_73_1" localSheetId="1">#REF!</definedName>
    <definedName name="_67Excel_BuiltIn_Print_Area_73_1" localSheetId="0">#REF!</definedName>
    <definedName name="_67Excel_BuiltIn_Print_Area_73_1" localSheetId="4">#REF!</definedName>
    <definedName name="_67Excel_BuiltIn_Print_Area_73_1">#REF!</definedName>
    <definedName name="_68Excel_BuiltIn_Print_Area_33_1" localSheetId="3">#REF!</definedName>
    <definedName name="_68Excel_BuiltIn_Print_Area_33_1" localSheetId="2">#REF!</definedName>
    <definedName name="_68Excel_BuiltIn_Print_Area_33_1" localSheetId="5">#REF!</definedName>
    <definedName name="_68Excel_BuiltIn_Print_Area_33_1" localSheetId="1">#REF!</definedName>
    <definedName name="_68Excel_BuiltIn_Print_Area_33_1" localSheetId="4">#REF!</definedName>
    <definedName name="_68Excel_BuiltIn_Print_Area_74_1" localSheetId="3">#REF!</definedName>
    <definedName name="_68Excel_BuiltIn_Print_Area_74_1" localSheetId="2">#REF!</definedName>
    <definedName name="_68Excel_BuiltIn_Print_Area_74_1" localSheetId="5">#REF!</definedName>
    <definedName name="_68Excel_BuiltIn_Print_Area_74_1" localSheetId="1">#REF!</definedName>
    <definedName name="_68Excel_BuiltIn_Print_Area_74_1" localSheetId="0">#REF!</definedName>
    <definedName name="_68Excel_BuiltIn_Print_Area_74_1" localSheetId="4">#REF!</definedName>
    <definedName name="_68Excel_BuiltIn_Print_Area_74_1">#REF!</definedName>
    <definedName name="_69Excel_BuiltIn_Print_Area_36_1" localSheetId="3">#REF!</definedName>
    <definedName name="_69Excel_BuiltIn_Print_Area_36_1" localSheetId="2">#REF!</definedName>
    <definedName name="_69Excel_BuiltIn_Print_Area_36_1" localSheetId="5">#REF!</definedName>
    <definedName name="_69Excel_BuiltIn_Print_Area_36_1" localSheetId="1">#REF!</definedName>
    <definedName name="_69Excel_BuiltIn_Print_Area_36_1" localSheetId="0">#REF!</definedName>
    <definedName name="_69Excel_BuiltIn_Print_Area_36_1" localSheetId="4">#REF!</definedName>
    <definedName name="_69Excel_BuiltIn_Print_Area_36_1">#REF!</definedName>
    <definedName name="_69Excel_BuiltIn_Print_Area_75_1" localSheetId="3">#REF!</definedName>
    <definedName name="_69Excel_BuiltIn_Print_Area_75_1" localSheetId="2">#REF!</definedName>
    <definedName name="_69Excel_BuiltIn_Print_Area_75_1" localSheetId="5">#REF!</definedName>
    <definedName name="_69Excel_BuiltIn_Print_Area_75_1" localSheetId="1">#REF!</definedName>
    <definedName name="_69Excel_BuiltIn_Print_Area_75_1" localSheetId="0">#REF!</definedName>
    <definedName name="_69Excel_BuiltIn_Print_Area_75_1" localSheetId="4">#REF!</definedName>
    <definedName name="_69Excel_BuiltIn_Print_Area_75_1">#REF!</definedName>
    <definedName name="_6Excel_BuiltIn_Print_Area_11_1" localSheetId="3">#REF!</definedName>
    <definedName name="_6Excel_BuiltIn_Print_Area_11_1" localSheetId="2">#REF!</definedName>
    <definedName name="_6Excel_BuiltIn_Print_Area_11_1" localSheetId="5">#REF!</definedName>
    <definedName name="_6Excel_BuiltIn_Print_Area_11_1" localSheetId="1">#REF!</definedName>
    <definedName name="_6Excel_BuiltIn_Print_Area_11_1" localSheetId="0">#REF!</definedName>
    <definedName name="_6Excel_BuiltIn_Print_Area_11_1" localSheetId="4">#REF!</definedName>
    <definedName name="_6Excel_BuiltIn_Print_Area_11_1">#REF!</definedName>
    <definedName name="_70Excel_BuiltIn_Print_Area_37_1">[3]LMCP_SPF_H_G_2!$A$1:$S$33</definedName>
    <definedName name="_70Excel_BuiltIn_Print_Area_76_1" localSheetId="3">#REF!</definedName>
    <definedName name="_70Excel_BuiltIn_Print_Area_76_1" localSheetId="2">#REF!</definedName>
    <definedName name="_70Excel_BuiltIn_Print_Area_76_1" localSheetId="5">#REF!</definedName>
    <definedName name="_70Excel_BuiltIn_Print_Area_76_1" localSheetId="1">#REF!</definedName>
    <definedName name="_70Excel_BuiltIn_Print_Area_76_1" localSheetId="0">#REF!</definedName>
    <definedName name="_70Excel_BuiltIn_Print_Area_76_1" localSheetId="4">#REF!</definedName>
    <definedName name="_70Excel_BuiltIn_Print_Area_76_1">#REF!</definedName>
    <definedName name="_71Excel_BuiltIn_Print_Area_33_1" localSheetId="3">#REF!</definedName>
    <definedName name="_71Excel_BuiltIn_Print_Area_33_1" localSheetId="2">#REF!</definedName>
    <definedName name="_71Excel_BuiltIn_Print_Area_33_1" localSheetId="5">#REF!</definedName>
    <definedName name="_71Excel_BuiltIn_Print_Area_33_1" localSheetId="1">#REF!</definedName>
    <definedName name="_71Excel_BuiltIn_Print_Area_33_1" localSheetId="0">#REF!</definedName>
    <definedName name="_71Excel_BuiltIn_Print_Area_33_1" localSheetId="4">#REF!</definedName>
    <definedName name="_71Excel_BuiltIn_Print_Area_33_1">#REF!</definedName>
    <definedName name="_71Excel_BuiltIn_Print_Area_77_1" localSheetId="3">'[9]SBE-MC-LGM-3'!$A$1:$R$33</definedName>
    <definedName name="_71Excel_BuiltIn_Print_Area_77_1" localSheetId="2">'[9]SBE-MC-LGM-3'!$A$1:$R$33</definedName>
    <definedName name="_71Excel_BuiltIn_Print_Area_77_1" localSheetId="5">'[9]SBE-MC-LGM-3'!$A$1:$R$33</definedName>
    <definedName name="_71Excel_BuiltIn_Print_Area_77_1" localSheetId="1">'[9]SBE-MC-LGM-3'!$A$1:$R$33</definedName>
    <definedName name="_71Excel_BuiltIn_Print_Area_77_1" localSheetId="4">'[9]SBE-MC-LGM-3'!$A$1:$R$33</definedName>
    <definedName name="_71Excel_BuiltIn_Print_Area_77_1">'[9]SBE-MC-LGM-3'!$A$1:$R$33</definedName>
    <definedName name="_72Excel_BuiltIn_Print_Area_78_1" localSheetId="3">#REF!</definedName>
    <definedName name="_72Excel_BuiltIn_Print_Area_78_1" localSheetId="2">#REF!</definedName>
    <definedName name="_72Excel_BuiltIn_Print_Area_78_1" localSheetId="5">#REF!</definedName>
    <definedName name="_72Excel_BuiltIn_Print_Area_78_1" localSheetId="1">#REF!</definedName>
    <definedName name="_72Excel_BuiltIn_Print_Area_78_1" localSheetId="0">#REF!</definedName>
    <definedName name="_72Excel_BuiltIn_Print_Area_78_1" localSheetId="4">#REF!</definedName>
    <definedName name="_72Excel_BuiltIn_Print_Area_78_1">#REF!</definedName>
    <definedName name="_73Excel_BuiltIn_Print_Area_34_1" localSheetId="3">#REF!</definedName>
    <definedName name="_73Excel_BuiltIn_Print_Area_34_1" localSheetId="2">#REF!</definedName>
    <definedName name="_73Excel_BuiltIn_Print_Area_34_1" localSheetId="5">#REF!</definedName>
    <definedName name="_73Excel_BuiltIn_Print_Area_34_1" localSheetId="1">#REF!</definedName>
    <definedName name="_73Excel_BuiltIn_Print_Area_34_1" localSheetId="4">#REF!</definedName>
    <definedName name="_73Excel_BuiltIn_Print_Area_79_1" localSheetId="3">#REF!</definedName>
    <definedName name="_73Excel_BuiltIn_Print_Area_79_1" localSheetId="2">#REF!</definedName>
    <definedName name="_73Excel_BuiltIn_Print_Area_79_1" localSheetId="5">#REF!</definedName>
    <definedName name="_73Excel_BuiltIn_Print_Area_79_1" localSheetId="1">#REF!</definedName>
    <definedName name="_73Excel_BuiltIn_Print_Area_79_1" localSheetId="0">#REF!</definedName>
    <definedName name="_73Excel_BuiltIn_Print_Area_79_1" localSheetId="4">#REF!</definedName>
    <definedName name="_73Excel_BuiltIn_Print_Area_79_1">#REF!</definedName>
    <definedName name="_74Excel_BuiltIn_Print_Area_38_1">[2]LMCP_LPF_GT_GM_1!$A$1:$R$33</definedName>
    <definedName name="_74Excel_BuiltIn_Print_Area_8_1" localSheetId="3">[11]LMCP_CEF_LG_2!$A$1:$R$34</definedName>
    <definedName name="_74Excel_BuiltIn_Print_Area_8_1" localSheetId="2">[11]LMCP_CEF_LG_2!$A$1:$R$34</definedName>
    <definedName name="_74Excel_BuiltIn_Print_Area_8_1" localSheetId="5">[11]LMCP_CEF_LG_2!$A$1:$R$34</definedName>
    <definedName name="_74Excel_BuiltIn_Print_Area_8_1" localSheetId="1">[11]LMCP_CEF_LG_2!$A$1:$R$34</definedName>
    <definedName name="_74Excel_BuiltIn_Print_Area_8_1" localSheetId="4">[11]LMCP_CEF_LG_2!$A$1:$R$34</definedName>
    <definedName name="_74Excel_BuiltIn_Print_Area_8_1">[11]LMCP_CEF_LG_2!$A$1:$R$34</definedName>
    <definedName name="_75Excel_BuiltIn_Print_Area_80_1" localSheetId="3">#REF!</definedName>
    <definedName name="_75Excel_BuiltIn_Print_Area_80_1" localSheetId="2">#REF!</definedName>
    <definedName name="_75Excel_BuiltIn_Print_Area_80_1" localSheetId="5">#REF!</definedName>
    <definedName name="_75Excel_BuiltIn_Print_Area_80_1" localSheetId="1">#REF!</definedName>
    <definedName name="_75Excel_BuiltIn_Print_Area_80_1" localSheetId="0">#REF!</definedName>
    <definedName name="_75Excel_BuiltIn_Print_Area_80_1" localSheetId="4">#REF!</definedName>
    <definedName name="_75Excel_BuiltIn_Print_Area_80_1">#REF!</definedName>
    <definedName name="_76Excel_BuiltIn_Print_Area_34_1" localSheetId="3">#REF!</definedName>
    <definedName name="_76Excel_BuiltIn_Print_Area_34_1" localSheetId="2">#REF!</definedName>
    <definedName name="_76Excel_BuiltIn_Print_Area_34_1" localSheetId="5">#REF!</definedName>
    <definedName name="_76Excel_BuiltIn_Print_Area_34_1" localSheetId="1">#REF!</definedName>
    <definedName name="_76Excel_BuiltIn_Print_Area_34_1" localSheetId="0">#REF!</definedName>
    <definedName name="_76Excel_BuiltIn_Print_Area_34_1" localSheetId="4">#REF!</definedName>
    <definedName name="_76Excel_BuiltIn_Print_Area_34_1">#REF!</definedName>
    <definedName name="_76Excel_BuiltIn_Print_Area_81_1" localSheetId="3">#REF!</definedName>
    <definedName name="_76Excel_BuiltIn_Print_Area_81_1" localSheetId="2">#REF!</definedName>
    <definedName name="_76Excel_BuiltIn_Print_Area_81_1" localSheetId="5">#REF!</definedName>
    <definedName name="_76Excel_BuiltIn_Print_Area_81_1" localSheetId="1">#REF!</definedName>
    <definedName name="_76Excel_BuiltIn_Print_Area_81_1" localSheetId="0">#REF!</definedName>
    <definedName name="_76Excel_BuiltIn_Print_Area_81_1" localSheetId="4">#REF!</definedName>
    <definedName name="_76Excel_BuiltIn_Print_Area_81_1">#REF!</definedName>
    <definedName name="_77Excel_BuiltIn_Print_Area_35_1">[3]MCPE_H_G_1!$A$1:$S$33</definedName>
    <definedName name="_77Excel_BuiltIn_Print_Area_82_1" localSheetId="3">#REF!</definedName>
    <definedName name="_77Excel_BuiltIn_Print_Area_82_1" localSheetId="2">#REF!</definedName>
    <definedName name="_77Excel_BuiltIn_Print_Area_82_1" localSheetId="5">#REF!</definedName>
    <definedName name="_77Excel_BuiltIn_Print_Area_82_1" localSheetId="1">#REF!</definedName>
    <definedName name="_77Excel_BuiltIn_Print_Area_82_1" localSheetId="0">#REF!</definedName>
    <definedName name="_77Excel_BuiltIn_Print_Area_82_1" localSheetId="4">#REF!</definedName>
    <definedName name="_77Excel_BuiltIn_Print_Area_82_1">#REF!</definedName>
    <definedName name="_78Excel_BuiltIn_Print_Area_39_1">[2]MCPE_MG_R_1!$A$1:$R$34</definedName>
    <definedName name="_78Excel_BuiltIn_Print_Area_88_1" localSheetId="3">#REF!</definedName>
    <definedName name="_78Excel_BuiltIn_Print_Area_88_1" localSheetId="2">#REF!</definedName>
    <definedName name="_78Excel_BuiltIn_Print_Area_88_1" localSheetId="5">#REF!</definedName>
    <definedName name="_78Excel_BuiltIn_Print_Area_88_1" localSheetId="1">#REF!</definedName>
    <definedName name="_78Excel_BuiltIn_Print_Area_88_1" localSheetId="0">#REF!</definedName>
    <definedName name="_78Excel_BuiltIn_Print_Area_88_1" localSheetId="4">#REF!</definedName>
    <definedName name="_78Excel_BuiltIn_Print_Area_88_1">#REF!</definedName>
    <definedName name="_79Excel_BuiltIn_Print_Area_36_1" localSheetId="3">#REF!</definedName>
    <definedName name="_79Excel_BuiltIn_Print_Area_36_1" localSheetId="2">#REF!</definedName>
    <definedName name="_79Excel_BuiltIn_Print_Area_36_1" localSheetId="5">#REF!</definedName>
    <definedName name="_79Excel_BuiltIn_Print_Area_36_1" localSheetId="1">#REF!</definedName>
    <definedName name="_79Excel_BuiltIn_Print_Area_36_1" localSheetId="4">#REF!</definedName>
    <definedName name="_79Excel_BuiltIn_Print_Area_89_1" localSheetId="3">#REF!</definedName>
    <definedName name="_79Excel_BuiltIn_Print_Area_89_1" localSheetId="2">#REF!</definedName>
    <definedName name="_79Excel_BuiltIn_Print_Area_89_1" localSheetId="5">#REF!</definedName>
    <definedName name="_79Excel_BuiltIn_Print_Area_89_1" localSheetId="1">#REF!</definedName>
    <definedName name="_79Excel_BuiltIn_Print_Area_89_1" localSheetId="0">#REF!</definedName>
    <definedName name="_79Excel_BuiltIn_Print_Area_89_1" localSheetId="4">#REF!</definedName>
    <definedName name="_79Excel_BuiltIn_Print_Area_89_1">#REF!</definedName>
    <definedName name="_7Excel_BuiltIn_Print_Area_100_1" localSheetId="3">#REF!</definedName>
    <definedName name="_7Excel_BuiltIn_Print_Area_100_1" localSheetId="2">#REF!</definedName>
    <definedName name="_7Excel_BuiltIn_Print_Area_100_1" localSheetId="5">#REF!</definedName>
    <definedName name="_7Excel_BuiltIn_Print_Area_100_1" localSheetId="1">#REF!</definedName>
    <definedName name="_7Excel_BuiltIn_Print_Area_100_1" localSheetId="4">#REF!</definedName>
    <definedName name="_7Excel_BuiltIn_Print_Area_112_1" localSheetId="3">#REF!</definedName>
    <definedName name="_7Excel_BuiltIn_Print_Area_112_1" localSheetId="2">#REF!</definedName>
    <definedName name="_7Excel_BuiltIn_Print_Area_112_1" localSheetId="5">#REF!</definedName>
    <definedName name="_7Excel_BuiltIn_Print_Area_112_1" localSheetId="1">#REF!</definedName>
    <definedName name="_7Excel_BuiltIn_Print_Area_112_1" localSheetId="0">#REF!</definedName>
    <definedName name="_7Excel_BuiltIn_Print_Area_112_1" localSheetId="4">#REF!</definedName>
    <definedName name="_7Excel_BuiltIn_Print_Area_112_1">#REF!</definedName>
    <definedName name="_80Excel_BuiltIn_Print_Area_9_1" localSheetId="3">#REF!</definedName>
    <definedName name="_80Excel_BuiltIn_Print_Area_9_1" localSheetId="2">#REF!</definedName>
    <definedName name="_80Excel_BuiltIn_Print_Area_9_1" localSheetId="5">#REF!</definedName>
    <definedName name="_80Excel_BuiltIn_Print_Area_9_1" localSheetId="1">#REF!</definedName>
    <definedName name="_80Excel_BuiltIn_Print_Area_9_1" localSheetId="0">#REF!</definedName>
    <definedName name="_80Excel_BuiltIn_Print_Area_9_1" localSheetId="4">#REF!</definedName>
    <definedName name="_80Excel_BuiltIn_Print_Area_9_1">#REF!</definedName>
    <definedName name="_81Excel_BuiltIn_Print_Area_90_1" localSheetId="3">'[14]SBE_H_G_3_(FCC)_'!$A$1:$R$40</definedName>
    <definedName name="_81Excel_BuiltIn_Print_Area_90_1" localSheetId="2">'[14]SBE_H_G_3_(FCC)_'!$A$1:$R$40</definedName>
    <definedName name="_81Excel_BuiltIn_Print_Area_90_1" localSheetId="5">'[14]SBE_H_G_3_(FCC)_'!$A$1:$R$40</definedName>
    <definedName name="_81Excel_BuiltIn_Print_Area_90_1" localSheetId="1">'[14]SBE_H_G_3_(FCC)_'!$A$1:$R$40</definedName>
    <definedName name="_81Excel_BuiltIn_Print_Area_90_1" localSheetId="4">'[14]SBE_H_G_3_(FCC)_'!$A$1:$R$40</definedName>
    <definedName name="_81Excel_BuiltIn_Print_Area_90_1">'[14]SBE_H_G_3_(FCC)_'!$A$1:$R$40</definedName>
    <definedName name="_82Excel_BuiltIn_Print_Area_36_1" localSheetId="3">#REF!</definedName>
    <definedName name="_82Excel_BuiltIn_Print_Area_36_1" localSheetId="2">#REF!</definedName>
    <definedName name="_82Excel_BuiltIn_Print_Area_36_1" localSheetId="5">#REF!</definedName>
    <definedName name="_82Excel_BuiltIn_Print_Area_36_1" localSheetId="1">#REF!</definedName>
    <definedName name="_82Excel_BuiltIn_Print_Area_36_1" localSheetId="0">#REF!</definedName>
    <definedName name="_82Excel_BuiltIn_Print_Area_36_1" localSheetId="4">#REF!</definedName>
    <definedName name="_82Excel_BuiltIn_Print_Area_36_1">#REF!</definedName>
    <definedName name="_82Excel_BuiltIn_Print_Area_4_1" localSheetId="3">#REF!</definedName>
    <definedName name="_82Excel_BuiltIn_Print_Area_4_1" localSheetId="2">#REF!</definedName>
    <definedName name="_82Excel_BuiltIn_Print_Area_4_1" localSheetId="5">#REF!</definedName>
    <definedName name="_82Excel_BuiltIn_Print_Area_4_1" localSheetId="1">#REF!</definedName>
    <definedName name="_82Excel_BuiltIn_Print_Area_4_1" localSheetId="0">#REF!</definedName>
    <definedName name="_82Excel_BuiltIn_Print_Area_4_1" localSheetId="4">#REF!</definedName>
    <definedName name="_82Excel_BuiltIn_Print_Area_4_1">#REF!</definedName>
    <definedName name="_82Excel_BuiltIn_Print_Area_91_1" localSheetId="3">[14]LMCP_DX_FCU_H_G_1!$A$1:$R$30</definedName>
    <definedName name="_82Excel_BuiltIn_Print_Area_91_1" localSheetId="2">[14]LMCP_DX_FCU_H_G_1!$A$1:$R$30</definedName>
    <definedName name="_82Excel_BuiltIn_Print_Area_91_1" localSheetId="5">[14]LMCP_DX_FCU_H_G_1!$A$1:$R$30</definedName>
    <definedName name="_82Excel_BuiltIn_Print_Area_91_1" localSheetId="1">[14]LMCP_DX_FCU_H_G_1!$A$1:$R$30</definedName>
    <definedName name="_82Excel_BuiltIn_Print_Area_91_1" localSheetId="4">[14]LMCP_DX_FCU_H_G_1!$A$1:$R$30</definedName>
    <definedName name="_82Excel_BuiltIn_Print_Area_91_1">[14]LMCP_DX_FCU_H_G_1!$A$1:$R$30</definedName>
    <definedName name="_83Excel_BuiltIn_Print_Area_37_1">[3]LMCP_SPF_H_G_2!$A$1:$S$33</definedName>
    <definedName name="_83Excel_BuiltIn_Print_Area_92_1" localSheetId="3">[14]LMCP_DX_FCU_H_LG_1!$A$1:$R$32</definedName>
    <definedName name="_83Excel_BuiltIn_Print_Area_92_1" localSheetId="2">[14]LMCP_DX_FCU_H_LG_1!$A$1:$R$32</definedName>
    <definedName name="_83Excel_BuiltIn_Print_Area_92_1" localSheetId="5">[14]LMCP_DX_FCU_H_LG_1!$A$1:$R$32</definedName>
    <definedName name="_83Excel_BuiltIn_Print_Area_92_1" localSheetId="1">[14]LMCP_DX_FCU_H_LG_1!$A$1:$R$32</definedName>
    <definedName name="_83Excel_BuiltIn_Print_Area_92_1" localSheetId="4">[14]LMCP_DX_FCU_H_LG_1!$A$1:$R$32</definedName>
    <definedName name="_83Excel_BuiltIn_Print_Area_92_1">[14]LMCP_DX_FCU_H_LG_1!$A$1:$R$32</definedName>
    <definedName name="_84Excel_BuiltIn_Print_Area_93_1" localSheetId="3">[14]LMCP_DX_FCU_H_LG_2!$A$1:$R$30</definedName>
    <definedName name="_84Excel_BuiltIn_Print_Area_93_1" localSheetId="2">[14]LMCP_DX_FCU_H_LG_2!$A$1:$R$30</definedName>
    <definedName name="_84Excel_BuiltIn_Print_Area_93_1" localSheetId="5">[14]LMCP_DX_FCU_H_LG_2!$A$1:$R$30</definedName>
    <definedName name="_84Excel_BuiltIn_Print_Area_93_1" localSheetId="1">[14]LMCP_DX_FCU_H_LG_2!$A$1:$R$30</definedName>
    <definedName name="_84Excel_BuiltIn_Print_Area_93_1" localSheetId="4">[14]LMCP_DX_FCU_H_LG_2!$A$1:$R$30</definedName>
    <definedName name="_84Excel_BuiltIn_Print_Area_93_1">[14]LMCP_DX_FCU_H_LG_2!$A$1:$R$30</definedName>
    <definedName name="_85Excel_BuiltIn_Print_Area_38_1" localSheetId="3">[1]LMCP_LPF_GT_GM_1!$A$1:$R$33</definedName>
    <definedName name="_85Excel_BuiltIn_Print_Area_38_1" localSheetId="2">[1]LMCP_LPF_GT_GM_1!$A$1:$R$33</definedName>
    <definedName name="_85Excel_BuiltIn_Print_Area_38_1" localSheetId="5">[1]LMCP_LPF_GT_GM_1!$A$1:$R$33</definedName>
    <definedName name="_85Excel_BuiltIn_Print_Area_38_1" localSheetId="1">[1]LMCP_LPF_GT_GM_1!$A$1:$R$33</definedName>
    <definedName name="_85Excel_BuiltIn_Print_Area_38_1" localSheetId="4">[1]LMCP_LPF_GT_GM_1!$A$1:$R$33</definedName>
    <definedName name="_85Excel_BuiltIn_Print_Area_94_1" localSheetId="3">[14]LMCP_DX_FCU_H_LGM_1!$A$1:$R$30</definedName>
    <definedName name="_85Excel_BuiltIn_Print_Area_94_1" localSheetId="2">[14]LMCP_DX_FCU_H_LGM_1!$A$1:$R$30</definedName>
    <definedName name="_85Excel_BuiltIn_Print_Area_94_1" localSheetId="5">[14]LMCP_DX_FCU_H_LGM_1!$A$1:$R$30</definedName>
    <definedName name="_85Excel_BuiltIn_Print_Area_94_1" localSheetId="1">[14]LMCP_DX_FCU_H_LGM_1!$A$1:$R$30</definedName>
    <definedName name="_85Excel_BuiltIn_Print_Area_94_1" localSheetId="4">[14]LMCP_DX_FCU_H_LGM_1!$A$1:$R$30</definedName>
    <definedName name="_85Excel_BuiltIn_Print_Area_94_1">[14]LMCP_DX_FCU_H_LGM_1!$A$1:$R$30</definedName>
    <definedName name="_86Excel_BuiltIn_Print_Area_40_1">[2]LMCP_SEF_GT_RD_1!$A$1:$R$32</definedName>
    <definedName name="_86Excel_BuiltIn_Print_Area_95_1" localSheetId="3">[14]LMCP_DX_FCU_H_LGM_2!$A$1:$R$30</definedName>
    <definedName name="_86Excel_BuiltIn_Print_Area_95_1" localSheetId="2">[14]LMCP_DX_FCU_H_LGM_2!$A$1:$R$30</definedName>
    <definedName name="_86Excel_BuiltIn_Print_Area_95_1" localSheetId="5">[14]LMCP_DX_FCU_H_LGM_2!$A$1:$R$30</definedName>
    <definedName name="_86Excel_BuiltIn_Print_Area_95_1" localSheetId="1">[14]LMCP_DX_FCU_H_LGM_2!$A$1:$R$30</definedName>
    <definedName name="_86Excel_BuiltIn_Print_Area_95_1" localSheetId="4">[14]LMCP_DX_FCU_H_LGM_2!$A$1:$R$30</definedName>
    <definedName name="_86Excel_BuiltIn_Print_Area_95_1">[14]LMCP_DX_FCU_H_LGM_2!$A$1:$R$30</definedName>
    <definedName name="_87Excel_BuiltIn_Print_Area_96_1" localSheetId="3">#REF!</definedName>
    <definedName name="_87Excel_BuiltIn_Print_Area_96_1" localSheetId="2">#REF!</definedName>
    <definedName name="_87Excel_BuiltIn_Print_Area_96_1" localSheetId="5">#REF!</definedName>
    <definedName name="_87Excel_BuiltIn_Print_Area_96_1" localSheetId="1">#REF!</definedName>
    <definedName name="_87Excel_BuiltIn_Print_Area_96_1" localSheetId="0">#REF!</definedName>
    <definedName name="_87Excel_BuiltIn_Print_Area_96_1" localSheetId="4">#REF!</definedName>
    <definedName name="_87Excel_BuiltIn_Print_Area_96_1">#REF!</definedName>
    <definedName name="_88Excel_BuiltIn_Print_Area_38_1">[2]LMCP_LPF_GT_GM_1!$A$1:$R$33</definedName>
    <definedName name="_88Excel_BuiltIn_Print_Area_97_1" localSheetId="3">#REF!</definedName>
    <definedName name="_88Excel_BuiltIn_Print_Area_97_1" localSheetId="2">#REF!</definedName>
    <definedName name="_88Excel_BuiltIn_Print_Area_97_1" localSheetId="5">#REF!</definedName>
    <definedName name="_88Excel_BuiltIn_Print_Area_97_1" localSheetId="1">#REF!</definedName>
    <definedName name="_88Excel_BuiltIn_Print_Area_97_1" localSheetId="0">#REF!</definedName>
    <definedName name="_88Excel_BuiltIn_Print_Area_97_1" localSheetId="4">#REF!</definedName>
    <definedName name="_88Excel_BuiltIn_Print_Area_97_1">#REF!</definedName>
    <definedName name="_89Excel_BuiltIn_Print_Area_98_1" localSheetId="3">#REF!</definedName>
    <definedName name="_89Excel_BuiltIn_Print_Area_98_1" localSheetId="2">#REF!</definedName>
    <definedName name="_89Excel_BuiltIn_Print_Area_98_1" localSheetId="5">#REF!</definedName>
    <definedName name="_89Excel_BuiltIn_Print_Area_98_1" localSheetId="1">#REF!</definedName>
    <definedName name="_89Excel_BuiltIn_Print_Area_98_1" localSheetId="0">#REF!</definedName>
    <definedName name="_89Excel_BuiltIn_Print_Area_98_1" localSheetId="4">#REF!</definedName>
    <definedName name="_89Excel_BuiltIn_Print_Area_98_1">#REF!</definedName>
    <definedName name="_8Excel_BuiltIn_Print_Area_100_1" localSheetId="3">#REF!</definedName>
    <definedName name="_8Excel_BuiltIn_Print_Area_100_1" localSheetId="2">#REF!</definedName>
    <definedName name="_8Excel_BuiltIn_Print_Area_100_1" localSheetId="5">#REF!</definedName>
    <definedName name="_8Excel_BuiltIn_Print_Area_100_1" localSheetId="1">#REF!</definedName>
    <definedName name="_8Excel_BuiltIn_Print_Area_100_1" localSheetId="0">#REF!</definedName>
    <definedName name="_8Excel_BuiltIn_Print_Area_100_1" localSheetId="4">#REF!</definedName>
    <definedName name="_8Excel_BuiltIn_Print_Area_100_1">#REF!</definedName>
    <definedName name="_8Excel_BuiltIn_Print_Area_12_1" localSheetId="3">#REF!</definedName>
    <definedName name="_8Excel_BuiltIn_Print_Area_12_1" localSheetId="2">#REF!</definedName>
    <definedName name="_8Excel_BuiltIn_Print_Area_12_1" localSheetId="5">#REF!</definedName>
    <definedName name="_8Excel_BuiltIn_Print_Area_12_1" localSheetId="1">#REF!</definedName>
    <definedName name="_8Excel_BuiltIn_Print_Area_12_1" localSheetId="0">#REF!</definedName>
    <definedName name="_8Excel_BuiltIn_Print_Area_12_1" localSheetId="4">#REF!</definedName>
    <definedName name="_8Excel_BuiltIn_Print_Area_12_1">#REF!</definedName>
    <definedName name="_90Excel_BuiltIn_Print_Area_39_1" localSheetId="3">[1]MCPE_MG_R_1!$A$1:$R$34</definedName>
    <definedName name="_90Excel_BuiltIn_Print_Area_39_1" localSheetId="2">[1]MCPE_MG_R_1!$A$1:$R$34</definedName>
    <definedName name="_90Excel_BuiltIn_Print_Area_39_1" localSheetId="5">[1]MCPE_MG_R_1!$A$1:$R$34</definedName>
    <definedName name="_90Excel_BuiltIn_Print_Area_39_1" localSheetId="1">[1]MCPE_MG_R_1!$A$1:$R$34</definedName>
    <definedName name="_90Excel_BuiltIn_Print_Area_39_1" localSheetId="4">[1]MCPE_MG_R_1!$A$1:$R$34</definedName>
    <definedName name="_90Excel_BuiltIn_Print_Area_41_1">[2]LMCP_SPF_GT_RD_1!$A$1:$R$32</definedName>
    <definedName name="_90Excel_BuiltIn_Print_Area_99_1" localSheetId="3">#REF!</definedName>
    <definedName name="_90Excel_BuiltIn_Print_Area_99_1" localSheetId="2">#REF!</definedName>
    <definedName name="_90Excel_BuiltIn_Print_Area_99_1" localSheetId="5">#REF!</definedName>
    <definedName name="_90Excel_BuiltIn_Print_Area_99_1" localSheetId="1">#REF!</definedName>
    <definedName name="_90Excel_BuiltIn_Print_Area_99_1" localSheetId="0">#REF!</definedName>
    <definedName name="_90Excel_BuiltIn_Print_Area_99_1" localSheetId="4">#REF!</definedName>
    <definedName name="_90Excel_BuiltIn_Print_Area_99_1">#REF!</definedName>
    <definedName name="_93Excel_BuiltIn_Print_Area_39_1">[2]MCPE_MG_R_1!$A$1:$R$34</definedName>
    <definedName name="_94Excel_BuiltIn_Print_Area_42_1" localSheetId="3">#REF!</definedName>
    <definedName name="_94Excel_BuiltIn_Print_Area_42_1" localSheetId="2">#REF!</definedName>
    <definedName name="_94Excel_BuiltIn_Print_Area_42_1" localSheetId="5">#REF!</definedName>
    <definedName name="_94Excel_BuiltIn_Print_Area_42_1" localSheetId="1">#REF!</definedName>
    <definedName name="_94Excel_BuiltIn_Print_Area_42_1" localSheetId="0">#REF!</definedName>
    <definedName name="_94Excel_BuiltIn_Print_Area_42_1" localSheetId="4">#REF!</definedName>
    <definedName name="_94Excel_BuiltIn_Print_Area_42_1">#REF!</definedName>
    <definedName name="_95Excel_BuiltIn_Print_Area_4_1" localSheetId="3">#REF!</definedName>
    <definedName name="_95Excel_BuiltIn_Print_Area_4_1" localSheetId="2">#REF!</definedName>
    <definedName name="_95Excel_BuiltIn_Print_Area_4_1" localSheetId="5">#REF!</definedName>
    <definedName name="_95Excel_BuiltIn_Print_Area_4_1" localSheetId="1">#REF!</definedName>
    <definedName name="_95Excel_BuiltIn_Print_Area_4_1" localSheetId="4">#REF!</definedName>
    <definedName name="_98Excel_BuiltIn_Print_Area_4_1" localSheetId="3">#REF!</definedName>
    <definedName name="_98Excel_BuiltIn_Print_Area_4_1" localSheetId="2">#REF!</definedName>
    <definedName name="_98Excel_BuiltIn_Print_Area_4_1" localSheetId="5">#REF!</definedName>
    <definedName name="_98Excel_BuiltIn_Print_Area_4_1" localSheetId="1">#REF!</definedName>
    <definedName name="_98Excel_BuiltIn_Print_Area_4_1" localSheetId="0">#REF!</definedName>
    <definedName name="_98Excel_BuiltIn_Print_Area_4_1" localSheetId="4">#REF!</definedName>
    <definedName name="_98Excel_BuiltIn_Print_Area_4_1">#REF!</definedName>
    <definedName name="_98Excel_BuiltIn_Print_Area_43_1" localSheetId="3">#REF!</definedName>
    <definedName name="_98Excel_BuiltIn_Print_Area_43_1" localSheetId="2">#REF!</definedName>
    <definedName name="_98Excel_BuiltIn_Print_Area_43_1" localSheetId="5">#REF!</definedName>
    <definedName name="_98Excel_BuiltIn_Print_Area_43_1" localSheetId="1">#REF!</definedName>
    <definedName name="_98Excel_BuiltIn_Print_Area_43_1" localSheetId="0">#REF!</definedName>
    <definedName name="_98Excel_BuiltIn_Print_Area_43_1" localSheetId="4">#REF!</definedName>
    <definedName name="_98Excel_BuiltIn_Print_Area_43_1">#REF!</definedName>
    <definedName name="_9Excel_BuiltIn_Print_Area_13_1" localSheetId="3">#REF!</definedName>
    <definedName name="_9Excel_BuiltIn_Print_Area_13_1" localSheetId="2">#REF!</definedName>
    <definedName name="_9Excel_BuiltIn_Print_Area_13_1" localSheetId="5">#REF!</definedName>
    <definedName name="_9Excel_BuiltIn_Print_Area_13_1" localSheetId="1">#REF!</definedName>
    <definedName name="_9Excel_BuiltIn_Print_Area_13_1" localSheetId="0">#REF!</definedName>
    <definedName name="_9Excel_BuiltIn_Print_Area_13_1" localSheetId="4">#REF!</definedName>
    <definedName name="_9Excel_BuiltIn_Print_Area_13_1">#REF!</definedName>
    <definedName name="AAA" localSheetId="3">#REF!</definedName>
    <definedName name="AAA" localSheetId="2">#REF!</definedName>
    <definedName name="AAA" localSheetId="5">#REF!</definedName>
    <definedName name="AAA" localSheetId="1">#REF!</definedName>
    <definedName name="AAA" localSheetId="0">#REF!</definedName>
    <definedName name="AAA" localSheetId="4">#REF!</definedName>
    <definedName name="AAA">#REF!</definedName>
    <definedName name="CABLE" localSheetId="3">#REF!</definedName>
    <definedName name="CABLE" localSheetId="2">#REF!</definedName>
    <definedName name="CABLE" localSheetId="5">#REF!</definedName>
    <definedName name="CABLE" localSheetId="1">#REF!</definedName>
    <definedName name="CABLE" localSheetId="0">#REF!</definedName>
    <definedName name="CABLE" localSheetId="4">#REF!</definedName>
    <definedName name="CABLE">#REF!</definedName>
    <definedName name="CABLE_10" localSheetId="3">#REF!</definedName>
    <definedName name="CABLE_10" localSheetId="2">#REF!</definedName>
    <definedName name="CABLE_10" localSheetId="5">#REF!</definedName>
    <definedName name="CABLE_10" localSheetId="1">#REF!</definedName>
    <definedName name="CABLE_10" localSheetId="0">#REF!</definedName>
    <definedName name="CABLE_10" localSheetId="4">#REF!</definedName>
    <definedName name="CABLE_10">#REF!</definedName>
    <definedName name="CABLE_100" localSheetId="3">#REF!</definedName>
    <definedName name="CABLE_100" localSheetId="2">#REF!</definedName>
    <definedName name="CABLE_100" localSheetId="5">#REF!</definedName>
    <definedName name="CABLE_100" localSheetId="1">#REF!</definedName>
    <definedName name="CABLE_100" localSheetId="0">#REF!</definedName>
    <definedName name="CABLE_100" localSheetId="4">#REF!</definedName>
    <definedName name="CABLE_100">#REF!</definedName>
    <definedName name="CABLE_103" localSheetId="3">#REF!</definedName>
    <definedName name="CABLE_103" localSheetId="2">#REF!</definedName>
    <definedName name="CABLE_103" localSheetId="5">#REF!</definedName>
    <definedName name="CABLE_103" localSheetId="1">#REF!</definedName>
    <definedName name="CABLE_103" localSheetId="0">#REF!</definedName>
    <definedName name="CABLE_103" localSheetId="4">#REF!</definedName>
    <definedName name="CABLE_103">#REF!</definedName>
    <definedName name="CABLE_104" localSheetId="3">#REF!</definedName>
    <definedName name="CABLE_104" localSheetId="2">#REF!</definedName>
    <definedName name="CABLE_104" localSheetId="5">#REF!</definedName>
    <definedName name="CABLE_104" localSheetId="1">#REF!</definedName>
    <definedName name="CABLE_104" localSheetId="0">#REF!</definedName>
    <definedName name="CABLE_104" localSheetId="4">#REF!</definedName>
    <definedName name="CABLE_104">#REF!</definedName>
    <definedName name="CABLE_107" localSheetId="3">#REF!</definedName>
    <definedName name="CABLE_107" localSheetId="2">#REF!</definedName>
    <definedName name="CABLE_107" localSheetId="5">#REF!</definedName>
    <definedName name="CABLE_107" localSheetId="1">#REF!</definedName>
    <definedName name="CABLE_107" localSheetId="0">#REF!</definedName>
    <definedName name="CABLE_107" localSheetId="4">#REF!</definedName>
    <definedName name="CABLE_107">#REF!</definedName>
    <definedName name="CABLE_11" localSheetId="3">#REF!</definedName>
    <definedName name="CABLE_11" localSheetId="2">#REF!</definedName>
    <definedName name="CABLE_11" localSheetId="5">#REF!</definedName>
    <definedName name="CABLE_11" localSheetId="1">#REF!</definedName>
    <definedName name="CABLE_11" localSheetId="0">#REF!</definedName>
    <definedName name="CABLE_11" localSheetId="4">#REF!</definedName>
    <definedName name="CABLE_11">#REF!</definedName>
    <definedName name="CABLE_110" localSheetId="3">#REF!</definedName>
    <definedName name="CABLE_110" localSheetId="2">#REF!</definedName>
    <definedName name="CABLE_110" localSheetId="5">#REF!</definedName>
    <definedName name="CABLE_110" localSheetId="1">#REF!</definedName>
    <definedName name="CABLE_110" localSheetId="0">#REF!</definedName>
    <definedName name="CABLE_110" localSheetId="4">#REF!</definedName>
    <definedName name="CABLE_110">#REF!</definedName>
    <definedName name="CABLE_111" localSheetId="3">#REF!</definedName>
    <definedName name="CABLE_111" localSheetId="2">#REF!</definedName>
    <definedName name="CABLE_111" localSheetId="5">#REF!</definedName>
    <definedName name="CABLE_111" localSheetId="1">#REF!</definedName>
    <definedName name="CABLE_111" localSheetId="0">#REF!</definedName>
    <definedName name="CABLE_111" localSheetId="4">#REF!</definedName>
    <definedName name="CABLE_111">#REF!</definedName>
    <definedName name="CABLE_112" localSheetId="3">#REF!</definedName>
    <definedName name="CABLE_112" localSheetId="2">#REF!</definedName>
    <definedName name="CABLE_112" localSheetId="5">#REF!</definedName>
    <definedName name="CABLE_112" localSheetId="1">#REF!</definedName>
    <definedName name="CABLE_112" localSheetId="0">#REF!</definedName>
    <definedName name="CABLE_112" localSheetId="4">#REF!</definedName>
    <definedName name="CABLE_112">#REF!</definedName>
    <definedName name="CABLE_113" localSheetId="3">#REF!</definedName>
    <definedName name="CABLE_113" localSheetId="2">#REF!</definedName>
    <definedName name="CABLE_113" localSheetId="5">#REF!</definedName>
    <definedName name="CABLE_113" localSheetId="1">#REF!</definedName>
    <definedName name="CABLE_113" localSheetId="0">#REF!</definedName>
    <definedName name="CABLE_113" localSheetId="4">#REF!</definedName>
    <definedName name="CABLE_113">#REF!</definedName>
    <definedName name="CABLE_12" localSheetId="3">#REF!</definedName>
    <definedName name="CABLE_12" localSheetId="2">#REF!</definedName>
    <definedName name="CABLE_12" localSheetId="5">#REF!</definedName>
    <definedName name="CABLE_12" localSheetId="1">#REF!</definedName>
    <definedName name="CABLE_12" localSheetId="0">#REF!</definedName>
    <definedName name="CABLE_12" localSheetId="4">#REF!</definedName>
    <definedName name="CABLE_12">#REF!</definedName>
    <definedName name="CABLE_125" localSheetId="3">#REF!</definedName>
    <definedName name="CABLE_125" localSheetId="2">#REF!</definedName>
    <definedName name="CABLE_125" localSheetId="5">#REF!</definedName>
    <definedName name="CABLE_125" localSheetId="1">#REF!</definedName>
    <definedName name="CABLE_125" localSheetId="0">#REF!</definedName>
    <definedName name="CABLE_125" localSheetId="4">#REF!</definedName>
    <definedName name="CABLE_125">#REF!</definedName>
    <definedName name="CABLE_14" localSheetId="3">#REF!</definedName>
    <definedName name="CABLE_14" localSheetId="2">#REF!</definedName>
    <definedName name="CABLE_14" localSheetId="5">#REF!</definedName>
    <definedName name="CABLE_14" localSheetId="1">#REF!</definedName>
    <definedName name="CABLE_14" localSheetId="0">#REF!</definedName>
    <definedName name="CABLE_14" localSheetId="4">#REF!</definedName>
    <definedName name="CABLE_14">#REF!</definedName>
    <definedName name="CABLE_15" localSheetId="3">#REF!</definedName>
    <definedName name="CABLE_15" localSheetId="2">#REF!</definedName>
    <definedName name="CABLE_15" localSheetId="5">#REF!</definedName>
    <definedName name="CABLE_15" localSheetId="1">#REF!</definedName>
    <definedName name="CABLE_15" localSheetId="0">#REF!</definedName>
    <definedName name="CABLE_15" localSheetId="4">#REF!</definedName>
    <definedName name="CABLE_15">#REF!</definedName>
    <definedName name="CABLE_17" localSheetId="3">#REF!</definedName>
    <definedName name="CABLE_17" localSheetId="2">#REF!</definedName>
    <definedName name="CABLE_17" localSheetId="5">#REF!</definedName>
    <definedName name="CABLE_17" localSheetId="1">#REF!</definedName>
    <definedName name="CABLE_17" localSheetId="0">#REF!</definedName>
    <definedName name="CABLE_17" localSheetId="4">#REF!</definedName>
    <definedName name="CABLE_17">#REF!</definedName>
    <definedName name="CABLE_18" localSheetId="3">#REF!</definedName>
    <definedName name="CABLE_18" localSheetId="2">#REF!</definedName>
    <definedName name="CABLE_18" localSheetId="5">#REF!</definedName>
    <definedName name="CABLE_18" localSheetId="1">#REF!</definedName>
    <definedName name="CABLE_18" localSheetId="0">#REF!</definedName>
    <definedName name="CABLE_18" localSheetId="4">#REF!</definedName>
    <definedName name="CABLE_18">#REF!</definedName>
    <definedName name="CABLE_19" localSheetId="3">#REF!</definedName>
    <definedName name="CABLE_19" localSheetId="2">#REF!</definedName>
    <definedName name="CABLE_19" localSheetId="5">#REF!</definedName>
    <definedName name="CABLE_19" localSheetId="1">#REF!</definedName>
    <definedName name="CABLE_19" localSheetId="0">#REF!</definedName>
    <definedName name="CABLE_19" localSheetId="4">#REF!</definedName>
    <definedName name="CABLE_19">#REF!</definedName>
    <definedName name="CABLE_20" localSheetId="3">#REF!</definedName>
    <definedName name="CABLE_20" localSheetId="2">#REF!</definedName>
    <definedName name="CABLE_20" localSheetId="5">#REF!</definedName>
    <definedName name="CABLE_20" localSheetId="1">#REF!</definedName>
    <definedName name="CABLE_20" localSheetId="0">#REF!</definedName>
    <definedName name="CABLE_20" localSheetId="4">#REF!</definedName>
    <definedName name="CABLE_20">#REF!</definedName>
    <definedName name="CABLE_21" localSheetId="3">#REF!</definedName>
    <definedName name="CABLE_21" localSheetId="2">#REF!</definedName>
    <definedName name="CABLE_21" localSheetId="5">#REF!</definedName>
    <definedName name="CABLE_21" localSheetId="1">#REF!</definedName>
    <definedName name="CABLE_21" localSheetId="0">#REF!</definedName>
    <definedName name="CABLE_21" localSheetId="4">#REF!</definedName>
    <definedName name="CABLE_21">#REF!</definedName>
    <definedName name="CABLE_22" localSheetId="3">#REF!</definedName>
    <definedName name="CABLE_22" localSheetId="2">#REF!</definedName>
    <definedName name="CABLE_22" localSheetId="5">#REF!</definedName>
    <definedName name="CABLE_22" localSheetId="1">#REF!</definedName>
    <definedName name="CABLE_22" localSheetId="0">#REF!</definedName>
    <definedName name="CABLE_22" localSheetId="4">#REF!</definedName>
    <definedName name="CABLE_22">#REF!</definedName>
    <definedName name="CABLE_23" localSheetId="3">#REF!</definedName>
    <definedName name="CABLE_23" localSheetId="2">#REF!</definedName>
    <definedName name="CABLE_23" localSheetId="5">#REF!</definedName>
    <definedName name="CABLE_23" localSheetId="1">#REF!</definedName>
    <definedName name="CABLE_23" localSheetId="0">#REF!</definedName>
    <definedName name="CABLE_23" localSheetId="4">#REF!</definedName>
    <definedName name="CABLE_23">#REF!</definedName>
    <definedName name="CABLE_24" localSheetId="3">#REF!</definedName>
    <definedName name="CABLE_24" localSheetId="2">#REF!</definedName>
    <definedName name="CABLE_24" localSheetId="5">#REF!</definedName>
    <definedName name="CABLE_24" localSheetId="1">#REF!</definedName>
    <definedName name="CABLE_24" localSheetId="0">#REF!</definedName>
    <definedName name="CABLE_24" localSheetId="4">#REF!</definedName>
    <definedName name="CABLE_24">#REF!</definedName>
    <definedName name="CABLE_25" localSheetId="3">#REF!</definedName>
    <definedName name="CABLE_25" localSheetId="2">#REF!</definedName>
    <definedName name="CABLE_25" localSheetId="5">#REF!</definedName>
    <definedName name="CABLE_25" localSheetId="1">#REF!</definedName>
    <definedName name="CABLE_25" localSheetId="0">#REF!</definedName>
    <definedName name="CABLE_25" localSheetId="4">#REF!</definedName>
    <definedName name="CABLE_25">#REF!</definedName>
    <definedName name="CABLE_26" localSheetId="3">#REF!</definedName>
    <definedName name="CABLE_26" localSheetId="2">#REF!</definedName>
    <definedName name="CABLE_26" localSheetId="5">#REF!</definedName>
    <definedName name="CABLE_26" localSheetId="1">#REF!</definedName>
    <definedName name="CABLE_26" localSheetId="0">#REF!</definedName>
    <definedName name="CABLE_26" localSheetId="4">#REF!</definedName>
    <definedName name="CABLE_26">#REF!</definedName>
    <definedName name="CABLE_27" localSheetId="3">#REF!</definedName>
    <definedName name="CABLE_27" localSheetId="2">#REF!</definedName>
    <definedName name="CABLE_27" localSheetId="5">#REF!</definedName>
    <definedName name="CABLE_27" localSheetId="1">#REF!</definedName>
    <definedName name="CABLE_27" localSheetId="0">#REF!</definedName>
    <definedName name="CABLE_27" localSheetId="4">#REF!</definedName>
    <definedName name="CABLE_27">#REF!</definedName>
    <definedName name="CABLE_28" localSheetId="3">#REF!</definedName>
    <definedName name="CABLE_28" localSheetId="2">#REF!</definedName>
    <definedName name="CABLE_28" localSheetId="5">#REF!</definedName>
    <definedName name="CABLE_28" localSheetId="1">#REF!</definedName>
    <definedName name="CABLE_28" localSheetId="0">#REF!</definedName>
    <definedName name="CABLE_28" localSheetId="4">#REF!</definedName>
    <definedName name="CABLE_28">#REF!</definedName>
    <definedName name="CABLE_3" localSheetId="3">#REF!</definedName>
    <definedName name="CABLE_3" localSheetId="2">#REF!</definedName>
    <definedName name="CABLE_3" localSheetId="5">#REF!</definedName>
    <definedName name="CABLE_3" localSheetId="1">#REF!</definedName>
    <definedName name="CABLE_3" localSheetId="0">#REF!</definedName>
    <definedName name="CABLE_3" localSheetId="4">#REF!</definedName>
    <definedName name="CABLE_3">#REF!</definedName>
    <definedName name="CABLE_30" localSheetId="3">#REF!</definedName>
    <definedName name="CABLE_30" localSheetId="2">#REF!</definedName>
    <definedName name="CABLE_30" localSheetId="5">#REF!</definedName>
    <definedName name="CABLE_30" localSheetId="1">#REF!</definedName>
    <definedName name="CABLE_30" localSheetId="0">#REF!</definedName>
    <definedName name="CABLE_30" localSheetId="4">#REF!</definedName>
    <definedName name="CABLE_30">#REF!</definedName>
    <definedName name="CABLE_31" localSheetId="3">#REF!</definedName>
    <definedName name="CABLE_31" localSheetId="2">#REF!</definedName>
    <definedName name="CABLE_31" localSheetId="5">#REF!</definedName>
    <definedName name="CABLE_31" localSheetId="1">#REF!</definedName>
    <definedName name="CABLE_31" localSheetId="0">#REF!</definedName>
    <definedName name="CABLE_31" localSheetId="4">#REF!</definedName>
    <definedName name="CABLE_31">#REF!</definedName>
    <definedName name="CABLE_35" localSheetId="3">#REF!</definedName>
    <definedName name="CABLE_35" localSheetId="2">#REF!</definedName>
    <definedName name="CABLE_35" localSheetId="5">#REF!</definedName>
    <definedName name="CABLE_35" localSheetId="1">#REF!</definedName>
    <definedName name="CABLE_35" localSheetId="0">#REF!</definedName>
    <definedName name="CABLE_35" localSheetId="4">#REF!</definedName>
    <definedName name="CABLE_35">#REF!</definedName>
    <definedName name="CABLE_36" localSheetId="3">#REF!</definedName>
    <definedName name="CABLE_36" localSheetId="2">#REF!</definedName>
    <definedName name="CABLE_36" localSheetId="5">#REF!</definedName>
    <definedName name="CABLE_36" localSheetId="1">#REF!</definedName>
    <definedName name="CABLE_36" localSheetId="0">#REF!</definedName>
    <definedName name="CABLE_36" localSheetId="4">#REF!</definedName>
    <definedName name="CABLE_36">#REF!</definedName>
    <definedName name="CABLE_38" localSheetId="3">#REF!</definedName>
    <definedName name="CABLE_38" localSheetId="2">#REF!</definedName>
    <definedName name="CABLE_38" localSheetId="5">#REF!</definedName>
    <definedName name="CABLE_38" localSheetId="1">#REF!</definedName>
    <definedName name="CABLE_38" localSheetId="0">#REF!</definedName>
    <definedName name="CABLE_38" localSheetId="4">#REF!</definedName>
    <definedName name="CABLE_38">#REF!</definedName>
    <definedName name="CABLE_39" localSheetId="3">#REF!</definedName>
    <definedName name="CABLE_39" localSheetId="2">#REF!</definedName>
    <definedName name="CABLE_39" localSheetId="5">#REF!</definedName>
    <definedName name="CABLE_39" localSheetId="1">#REF!</definedName>
    <definedName name="CABLE_39" localSheetId="0">#REF!</definedName>
    <definedName name="CABLE_39" localSheetId="4">#REF!</definedName>
    <definedName name="CABLE_39">#REF!</definedName>
    <definedName name="CABLE_4" localSheetId="3">#REF!</definedName>
    <definedName name="CABLE_4" localSheetId="2">#REF!</definedName>
    <definedName name="CABLE_4" localSheetId="5">#REF!</definedName>
    <definedName name="CABLE_4" localSheetId="1">#REF!</definedName>
    <definedName name="CABLE_4" localSheetId="0">#REF!</definedName>
    <definedName name="CABLE_4" localSheetId="4">#REF!</definedName>
    <definedName name="CABLE_4">#REF!</definedName>
    <definedName name="CABLE_40" localSheetId="3">#REF!</definedName>
    <definedName name="CABLE_40" localSheetId="2">#REF!</definedName>
    <definedName name="CABLE_40" localSheetId="5">#REF!</definedName>
    <definedName name="CABLE_40" localSheetId="1">#REF!</definedName>
    <definedName name="CABLE_40" localSheetId="0">#REF!</definedName>
    <definedName name="CABLE_40" localSheetId="4">#REF!</definedName>
    <definedName name="CABLE_40">#REF!</definedName>
    <definedName name="CABLE_41" localSheetId="3">#REF!</definedName>
    <definedName name="CABLE_41" localSheetId="2">#REF!</definedName>
    <definedName name="CABLE_41" localSheetId="5">#REF!</definedName>
    <definedName name="CABLE_41" localSheetId="1">#REF!</definedName>
    <definedName name="CABLE_41" localSheetId="0">#REF!</definedName>
    <definedName name="CABLE_41" localSheetId="4">#REF!</definedName>
    <definedName name="CABLE_41">#REF!</definedName>
    <definedName name="CABLE_43" localSheetId="3">#REF!</definedName>
    <definedName name="CABLE_43" localSheetId="2">#REF!</definedName>
    <definedName name="CABLE_43" localSheetId="5">#REF!</definedName>
    <definedName name="CABLE_43" localSheetId="1">#REF!</definedName>
    <definedName name="CABLE_43" localSheetId="0">#REF!</definedName>
    <definedName name="CABLE_43" localSheetId="4">#REF!</definedName>
    <definedName name="CABLE_43">#REF!</definedName>
    <definedName name="CABLE_44" localSheetId="3">#REF!</definedName>
    <definedName name="CABLE_44" localSheetId="2">#REF!</definedName>
    <definedName name="CABLE_44" localSheetId="5">#REF!</definedName>
    <definedName name="CABLE_44" localSheetId="1">#REF!</definedName>
    <definedName name="CABLE_44" localSheetId="0">#REF!</definedName>
    <definedName name="CABLE_44" localSheetId="4">#REF!</definedName>
    <definedName name="CABLE_44">#REF!</definedName>
    <definedName name="CABLE_45" localSheetId="3">#REF!</definedName>
    <definedName name="CABLE_45" localSheetId="2">#REF!</definedName>
    <definedName name="CABLE_45" localSheetId="5">#REF!</definedName>
    <definedName name="CABLE_45" localSheetId="1">#REF!</definedName>
    <definedName name="CABLE_45" localSheetId="0">#REF!</definedName>
    <definedName name="CABLE_45" localSheetId="4">#REF!</definedName>
    <definedName name="CABLE_45">#REF!</definedName>
    <definedName name="CABLE_47" localSheetId="3">#REF!</definedName>
    <definedName name="CABLE_47" localSheetId="2">#REF!</definedName>
    <definedName name="CABLE_47" localSheetId="5">#REF!</definedName>
    <definedName name="CABLE_47" localSheetId="1">#REF!</definedName>
    <definedName name="CABLE_47" localSheetId="0">#REF!</definedName>
    <definedName name="CABLE_47" localSheetId="4">#REF!</definedName>
    <definedName name="CABLE_47">#REF!</definedName>
    <definedName name="CABLE_48" localSheetId="3">#REF!</definedName>
    <definedName name="CABLE_48" localSheetId="2">#REF!</definedName>
    <definedName name="CABLE_48" localSheetId="5">#REF!</definedName>
    <definedName name="CABLE_48" localSheetId="1">#REF!</definedName>
    <definedName name="CABLE_48" localSheetId="0">#REF!</definedName>
    <definedName name="CABLE_48" localSheetId="4">#REF!</definedName>
    <definedName name="CABLE_48">#REF!</definedName>
    <definedName name="CABLE_49" localSheetId="3">#REF!</definedName>
    <definedName name="CABLE_49" localSheetId="2">#REF!</definedName>
    <definedName name="CABLE_49" localSheetId="5">#REF!</definedName>
    <definedName name="CABLE_49" localSheetId="1">#REF!</definedName>
    <definedName name="CABLE_49" localSheetId="0">#REF!</definedName>
    <definedName name="CABLE_49" localSheetId="4">#REF!</definedName>
    <definedName name="CABLE_49">#REF!</definedName>
    <definedName name="CABLE_5" localSheetId="3">#REF!</definedName>
    <definedName name="CABLE_5" localSheetId="2">#REF!</definedName>
    <definedName name="CABLE_5" localSheetId="5">#REF!</definedName>
    <definedName name="CABLE_5" localSheetId="1">#REF!</definedName>
    <definedName name="CABLE_5" localSheetId="0">#REF!</definedName>
    <definedName name="CABLE_5" localSheetId="4">#REF!</definedName>
    <definedName name="CABLE_5">#REF!</definedName>
    <definedName name="CABLE_54" localSheetId="3">#REF!</definedName>
    <definedName name="CABLE_54" localSheetId="2">#REF!</definedName>
    <definedName name="CABLE_54" localSheetId="5">#REF!</definedName>
    <definedName name="CABLE_54" localSheetId="1">#REF!</definedName>
    <definedName name="CABLE_54" localSheetId="0">#REF!</definedName>
    <definedName name="CABLE_54" localSheetId="4">#REF!</definedName>
    <definedName name="CABLE_54">#REF!</definedName>
    <definedName name="CABLE_56" localSheetId="3">#REF!</definedName>
    <definedName name="CABLE_56" localSheetId="2">#REF!</definedName>
    <definedName name="CABLE_56" localSheetId="5">#REF!</definedName>
    <definedName name="CABLE_56" localSheetId="1">#REF!</definedName>
    <definedName name="CABLE_56" localSheetId="0">#REF!</definedName>
    <definedName name="CABLE_56" localSheetId="4">#REF!</definedName>
    <definedName name="CABLE_56">#REF!</definedName>
    <definedName name="CABLE_57" localSheetId="3">#REF!</definedName>
    <definedName name="CABLE_57" localSheetId="2">#REF!</definedName>
    <definedName name="CABLE_57" localSheetId="5">#REF!</definedName>
    <definedName name="CABLE_57" localSheetId="1">#REF!</definedName>
    <definedName name="CABLE_57" localSheetId="0">#REF!</definedName>
    <definedName name="CABLE_57" localSheetId="4">#REF!</definedName>
    <definedName name="CABLE_57">#REF!</definedName>
    <definedName name="CABLE_58" localSheetId="3">#REF!</definedName>
    <definedName name="CABLE_58" localSheetId="2">#REF!</definedName>
    <definedName name="CABLE_58" localSheetId="5">#REF!</definedName>
    <definedName name="CABLE_58" localSheetId="1">#REF!</definedName>
    <definedName name="CABLE_58" localSheetId="0">#REF!</definedName>
    <definedName name="CABLE_58" localSheetId="4">#REF!</definedName>
    <definedName name="CABLE_58">#REF!</definedName>
    <definedName name="CABLE_59" localSheetId="3">#REF!</definedName>
    <definedName name="CABLE_59" localSheetId="2">#REF!</definedName>
    <definedName name="CABLE_59" localSheetId="5">#REF!</definedName>
    <definedName name="CABLE_59" localSheetId="1">#REF!</definedName>
    <definedName name="CABLE_59" localSheetId="0">#REF!</definedName>
    <definedName name="CABLE_59" localSheetId="4">#REF!</definedName>
    <definedName name="CABLE_59">#REF!</definedName>
    <definedName name="CABLE_6" localSheetId="3">#REF!</definedName>
    <definedName name="CABLE_6" localSheetId="2">#REF!</definedName>
    <definedName name="CABLE_6" localSheetId="5">#REF!</definedName>
    <definedName name="CABLE_6" localSheetId="1">#REF!</definedName>
    <definedName name="CABLE_6" localSheetId="0">#REF!</definedName>
    <definedName name="CABLE_6" localSheetId="4">#REF!</definedName>
    <definedName name="CABLE_6">#REF!</definedName>
    <definedName name="CABLE_61" localSheetId="3">#REF!</definedName>
    <definedName name="CABLE_61" localSheetId="2">#REF!</definedName>
    <definedName name="CABLE_61" localSheetId="5">#REF!</definedName>
    <definedName name="CABLE_61" localSheetId="1">#REF!</definedName>
    <definedName name="CABLE_61" localSheetId="0">#REF!</definedName>
    <definedName name="CABLE_61" localSheetId="4">#REF!</definedName>
    <definedName name="CABLE_61">#REF!</definedName>
    <definedName name="CABLE_62" localSheetId="3">#REF!</definedName>
    <definedName name="CABLE_62" localSheetId="2">#REF!</definedName>
    <definedName name="CABLE_62" localSheetId="5">#REF!</definedName>
    <definedName name="CABLE_62" localSheetId="1">#REF!</definedName>
    <definedName name="CABLE_62" localSheetId="0">#REF!</definedName>
    <definedName name="CABLE_62" localSheetId="4">#REF!</definedName>
    <definedName name="CABLE_62">#REF!</definedName>
    <definedName name="CABLE_63" localSheetId="3">#REF!</definedName>
    <definedName name="CABLE_63" localSheetId="2">#REF!</definedName>
    <definedName name="CABLE_63" localSheetId="5">#REF!</definedName>
    <definedName name="CABLE_63" localSheetId="1">#REF!</definedName>
    <definedName name="CABLE_63" localSheetId="0">#REF!</definedName>
    <definedName name="CABLE_63" localSheetId="4">#REF!</definedName>
    <definedName name="CABLE_63">#REF!</definedName>
    <definedName name="CABLE_64" localSheetId="3">#REF!</definedName>
    <definedName name="CABLE_64" localSheetId="2">#REF!</definedName>
    <definedName name="CABLE_64" localSheetId="5">#REF!</definedName>
    <definedName name="CABLE_64" localSheetId="1">#REF!</definedName>
    <definedName name="CABLE_64" localSheetId="0">#REF!</definedName>
    <definedName name="CABLE_64" localSheetId="4">#REF!</definedName>
    <definedName name="CABLE_64">#REF!</definedName>
    <definedName name="CABLE_66" localSheetId="3">#REF!</definedName>
    <definedName name="CABLE_66" localSheetId="2">#REF!</definedName>
    <definedName name="CABLE_66" localSheetId="5">#REF!</definedName>
    <definedName name="CABLE_66" localSheetId="1">#REF!</definedName>
    <definedName name="CABLE_66" localSheetId="0">#REF!</definedName>
    <definedName name="CABLE_66" localSheetId="4">#REF!</definedName>
    <definedName name="CABLE_66">#REF!</definedName>
    <definedName name="CABLE_68" localSheetId="3">#REF!</definedName>
    <definedName name="CABLE_68" localSheetId="2">#REF!</definedName>
    <definedName name="CABLE_68" localSheetId="5">#REF!</definedName>
    <definedName name="CABLE_68" localSheetId="1">#REF!</definedName>
    <definedName name="CABLE_68" localSheetId="0">#REF!</definedName>
    <definedName name="CABLE_68" localSheetId="4">#REF!</definedName>
    <definedName name="CABLE_68">#REF!</definedName>
    <definedName name="CABLE_69" localSheetId="3">#REF!</definedName>
    <definedName name="CABLE_69" localSheetId="2">#REF!</definedName>
    <definedName name="CABLE_69" localSheetId="5">#REF!</definedName>
    <definedName name="CABLE_69" localSheetId="1">#REF!</definedName>
    <definedName name="CABLE_69" localSheetId="0">#REF!</definedName>
    <definedName name="CABLE_69" localSheetId="4">#REF!</definedName>
    <definedName name="CABLE_69">#REF!</definedName>
    <definedName name="CABLE_7" localSheetId="3">#REF!</definedName>
    <definedName name="CABLE_7" localSheetId="2">#REF!</definedName>
    <definedName name="CABLE_7" localSheetId="5">#REF!</definedName>
    <definedName name="CABLE_7" localSheetId="1">#REF!</definedName>
    <definedName name="CABLE_7" localSheetId="0">#REF!</definedName>
    <definedName name="CABLE_7" localSheetId="4">#REF!</definedName>
    <definedName name="CABLE_7">#REF!</definedName>
    <definedName name="CABLE_76" localSheetId="3">#REF!</definedName>
    <definedName name="CABLE_76" localSheetId="2">#REF!</definedName>
    <definedName name="CABLE_76" localSheetId="5">#REF!</definedName>
    <definedName name="CABLE_76" localSheetId="1">#REF!</definedName>
    <definedName name="CABLE_76" localSheetId="0">#REF!</definedName>
    <definedName name="CABLE_76" localSheetId="4">#REF!</definedName>
    <definedName name="CABLE_76">#REF!</definedName>
    <definedName name="CABLE_77" localSheetId="3">#REF!</definedName>
    <definedName name="CABLE_77" localSheetId="2">#REF!</definedName>
    <definedName name="CABLE_77" localSheetId="5">#REF!</definedName>
    <definedName name="CABLE_77" localSheetId="1">#REF!</definedName>
    <definedName name="CABLE_77" localSheetId="0">#REF!</definedName>
    <definedName name="CABLE_77" localSheetId="4">#REF!</definedName>
    <definedName name="CABLE_77">#REF!</definedName>
    <definedName name="CABLE_8" localSheetId="3">#REF!</definedName>
    <definedName name="CABLE_8" localSheetId="2">#REF!</definedName>
    <definedName name="CABLE_8" localSheetId="5">#REF!</definedName>
    <definedName name="CABLE_8" localSheetId="1">#REF!</definedName>
    <definedName name="CABLE_8" localSheetId="0">#REF!</definedName>
    <definedName name="CABLE_8" localSheetId="4">#REF!</definedName>
    <definedName name="CABLE_8">#REF!</definedName>
    <definedName name="CABLE_86" localSheetId="3">#REF!</definedName>
    <definedName name="CABLE_86" localSheetId="2">#REF!</definedName>
    <definedName name="CABLE_86" localSheetId="5">#REF!</definedName>
    <definedName name="CABLE_86" localSheetId="1">#REF!</definedName>
    <definedName name="CABLE_86" localSheetId="0">#REF!</definedName>
    <definedName name="CABLE_86" localSheetId="4">#REF!</definedName>
    <definedName name="CABLE_86">#REF!</definedName>
    <definedName name="CABLE_87" localSheetId="3">#REF!</definedName>
    <definedName name="CABLE_87" localSheetId="2">#REF!</definedName>
    <definedName name="CABLE_87" localSheetId="5">#REF!</definedName>
    <definedName name="CABLE_87" localSheetId="1">#REF!</definedName>
    <definedName name="CABLE_87" localSheetId="0">#REF!</definedName>
    <definedName name="CABLE_87" localSheetId="4">#REF!</definedName>
    <definedName name="CABLE_87">#REF!</definedName>
    <definedName name="CABLE_89" localSheetId="3">#REF!</definedName>
    <definedName name="CABLE_89" localSheetId="2">#REF!</definedName>
    <definedName name="CABLE_89" localSheetId="5">#REF!</definedName>
    <definedName name="CABLE_89" localSheetId="1">#REF!</definedName>
    <definedName name="CABLE_89" localSheetId="0">#REF!</definedName>
    <definedName name="CABLE_89" localSheetId="4">#REF!</definedName>
    <definedName name="CABLE_89">#REF!</definedName>
    <definedName name="CABLE_9" localSheetId="3">#REF!</definedName>
    <definedName name="CABLE_9" localSheetId="2">#REF!</definedName>
    <definedName name="CABLE_9" localSheetId="5">#REF!</definedName>
    <definedName name="CABLE_9" localSheetId="1">#REF!</definedName>
    <definedName name="CABLE_9" localSheetId="0">#REF!</definedName>
    <definedName name="CABLE_9" localSheetId="4">#REF!</definedName>
    <definedName name="CABLE_9">#REF!</definedName>
    <definedName name="CABLE_90" localSheetId="3">#REF!</definedName>
    <definedName name="CABLE_90" localSheetId="2">#REF!</definedName>
    <definedName name="CABLE_90" localSheetId="5">#REF!</definedName>
    <definedName name="CABLE_90" localSheetId="1">#REF!</definedName>
    <definedName name="CABLE_90" localSheetId="0">#REF!</definedName>
    <definedName name="CABLE_90" localSheetId="4">#REF!</definedName>
    <definedName name="CABLE_90">#REF!</definedName>
    <definedName name="CABLE_94" localSheetId="3">#REF!</definedName>
    <definedName name="CABLE_94" localSheetId="2">#REF!</definedName>
    <definedName name="CABLE_94" localSheetId="5">#REF!</definedName>
    <definedName name="CABLE_94" localSheetId="1">#REF!</definedName>
    <definedName name="CABLE_94" localSheetId="0">#REF!</definedName>
    <definedName name="CABLE_94" localSheetId="4">#REF!</definedName>
    <definedName name="CABLE_94">#REF!</definedName>
    <definedName name="CABLE_95" localSheetId="3">#REF!</definedName>
    <definedName name="CABLE_95" localSheetId="2">#REF!</definedName>
    <definedName name="CABLE_95" localSheetId="5">#REF!</definedName>
    <definedName name="CABLE_95" localSheetId="1">#REF!</definedName>
    <definedName name="CABLE_95" localSheetId="0">#REF!</definedName>
    <definedName name="CABLE_95" localSheetId="4">#REF!</definedName>
    <definedName name="CABLE_95">#REF!</definedName>
    <definedName name="CABLE_96" localSheetId="3">#REF!</definedName>
    <definedName name="CABLE_96" localSheetId="2">#REF!</definedName>
    <definedName name="CABLE_96" localSheetId="5">#REF!</definedName>
    <definedName name="CABLE_96" localSheetId="1">#REF!</definedName>
    <definedName name="CABLE_96" localSheetId="0">#REF!</definedName>
    <definedName name="CABLE_96" localSheetId="4">#REF!</definedName>
    <definedName name="CABLE_96">#REF!</definedName>
    <definedName name="CABLE_97" localSheetId="3">#REF!</definedName>
    <definedName name="CABLE_97" localSheetId="2">#REF!</definedName>
    <definedName name="CABLE_97" localSheetId="5">#REF!</definedName>
    <definedName name="CABLE_97" localSheetId="1">#REF!</definedName>
    <definedName name="CABLE_97" localSheetId="0">#REF!</definedName>
    <definedName name="CABLE_97" localSheetId="4">#REF!</definedName>
    <definedName name="CABLE_97">#REF!</definedName>
    <definedName name="cables" localSheetId="3">#REF!</definedName>
    <definedName name="cables" localSheetId="2">#REF!</definedName>
    <definedName name="cables" localSheetId="5">#REF!</definedName>
    <definedName name="cables" localSheetId="1">#REF!</definedName>
    <definedName name="cables" localSheetId="0">#REF!</definedName>
    <definedName name="cables" localSheetId="4">#REF!</definedName>
    <definedName name="cables">#REF!</definedName>
    <definedName name="Excel_BuiltIn__FilterDatabase_6" localSheetId="3">#REF!</definedName>
    <definedName name="Excel_BuiltIn__FilterDatabase_6" localSheetId="2">#REF!</definedName>
    <definedName name="Excel_BuiltIn__FilterDatabase_6" localSheetId="5">#REF!</definedName>
    <definedName name="Excel_BuiltIn__FilterDatabase_6" localSheetId="1">#REF!</definedName>
    <definedName name="Excel_BuiltIn__FilterDatabase_6" localSheetId="0">#REF!</definedName>
    <definedName name="Excel_BuiltIn__FilterDatabase_6" localSheetId="4">#REF!</definedName>
    <definedName name="Excel_BuiltIn__FilterDatabase_6">#REF!</definedName>
    <definedName name="Excel_BuiltIn_Print_Area_10" localSheetId="3">#REF!</definedName>
    <definedName name="Excel_BuiltIn_Print_Area_10" localSheetId="2">#REF!</definedName>
    <definedName name="Excel_BuiltIn_Print_Area_10" localSheetId="5">#REF!</definedName>
    <definedName name="Excel_BuiltIn_Print_Area_10" localSheetId="1">#REF!</definedName>
    <definedName name="Excel_BuiltIn_Print_Area_10" localSheetId="0">#REF!</definedName>
    <definedName name="Excel_BuiltIn_Print_Area_10" localSheetId="4">#REF!</definedName>
    <definedName name="Excel_BuiltIn_Print_Area_10">#REF!</definedName>
    <definedName name="Excel_BuiltIn_Print_Area_100_1" localSheetId="3">#REF!</definedName>
    <definedName name="Excel_BuiltIn_Print_Area_100_1" localSheetId="2">#REF!</definedName>
    <definedName name="Excel_BuiltIn_Print_Area_100_1" localSheetId="5">#REF!</definedName>
    <definedName name="Excel_BuiltIn_Print_Area_100_1" localSheetId="1">#REF!</definedName>
    <definedName name="Excel_BuiltIn_Print_Area_100_1" localSheetId="0">#REF!</definedName>
    <definedName name="Excel_BuiltIn_Print_Area_100_1" localSheetId="4">#REF!</definedName>
    <definedName name="Excel_BuiltIn_Print_Area_100_1">#REF!</definedName>
    <definedName name="Excel_BuiltIn_Print_Area_101_1" localSheetId="3">#REF!</definedName>
    <definedName name="Excel_BuiltIn_Print_Area_101_1" localSheetId="2">#REF!</definedName>
    <definedName name="Excel_BuiltIn_Print_Area_101_1" localSheetId="5">#REF!</definedName>
    <definedName name="Excel_BuiltIn_Print_Area_101_1" localSheetId="1">#REF!</definedName>
    <definedName name="Excel_BuiltIn_Print_Area_101_1" localSheetId="0">#REF!</definedName>
    <definedName name="Excel_BuiltIn_Print_Area_101_1" localSheetId="4">#REF!</definedName>
    <definedName name="Excel_BuiltIn_Print_Area_101_1">#REF!</definedName>
    <definedName name="Excel_BuiltIn_Print_Area_102_1" localSheetId="3">#REF!</definedName>
    <definedName name="Excel_BuiltIn_Print_Area_102_1" localSheetId="2">#REF!</definedName>
    <definedName name="Excel_BuiltIn_Print_Area_102_1" localSheetId="5">#REF!</definedName>
    <definedName name="Excel_BuiltIn_Print_Area_102_1" localSheetId="1">#REF!</definedName>
    <definedName name="Excel_BuiltIn_Print_Area_102_1" localSheetId="0">#REF!</definedName>
    <definedName name="Excel_BuiltIn_Print_Area_102_1" localSheetId="4">#REF!</definedName>
    <definedName name="Excel_BuiltIn_Print_Area_102_1">#REF!</definedName>
    <definedName name="Excel_BuiltIn_Print_Area_103_1" localSheetId="3">#REF!</definedName>
    <definedName name="Excel_BuiltIn_Print_Area_103_1" localSheetId="2">#REF!</definedName>
    <definedName name="Excel_BuiltIn_Print_Area_103_1" localSheetId="5">#REF!</definedName>
    <definedName name="Excel_BuiltIn_Print_Area_103_1" localSheetId="1">#REF!</definedName>
    <definedName name="Excel_BuiltIn_Print_Area_103_1" localSheetId="0">#REF!</definedName>
    <definedName name="Excel_BuiltIn_Print_Area_103_1" localSheetId="4">#REF!</definedName>
    <definedName name="Excel_BuiltIn_Print_Area_103_1">#REF!</definedName>
    <definedName name="Excel_BuiltIn_Print_Area_105" localSheetId="3">#REF!</definedName>
    <definedName name="Excel_BuiltIn_Print_Area_105" localSheetId="2">#REF!</definedName>
    <definedName name="Excel_BuiltIn_Print_Area_105" localSheetId="5">#REF!</definedName>
    <definedName name="Excel_BuiltIn_Print_Area_105" localSheetId="1">#REF!</definedName>
    <definedName name="Excel_BuiltIn_Print_Area_105" localSheetId="0">#REF!</definedName>
    <definedName name="Excel_BuiltIn_Print_Area_105" localSheetId="4">#REF!</definedName>
    <definedName name="Excel_BuiltIn_Print_Area_105">#REF!</definedName>
    <definedName name="Excel_BuiltIn_Print_Area_106" localSheetId="3">#REF!</definedName>
    <definedName name="Excel_BuiltIn_Print_Area_106" localSheetId="2">#REF!</definedName>
    <definedName name="Excel_BuiltIn_Print_Area_106" localSheetId="5">#REF!</definedName>
    <definedName name="Excel_BuiltIn_Print_Area_106" localSheetId="1">#REF!</definedName>
    <definedName name="Excel_BuiltIn_Print_Area_106" localSheetId="0">#REF!</definedName>
    <definedName name="Excel_BuiltIn_Print_Area_106" localSheetId="4">#REF!</definedName>
    <definedName name="Excel_BuiltIn_Print_Area_106">#REF!</definedName>
    <definedName name="Excel_BuiltIn_Print_Area_107" localSheetId="3">#REF!</definedName>
    <definedName name="Excel_BuiltIn_Print_Area_107" localSheetId="2">#REF!</definedName>
    <definedName name="Excel_BuiltIn_Print_Area_107" localSheetId="5">#REF!</definedName>
    <definedName name="Excel_BuiltIn_Print_Area_107" localSheetId="1">#REF!</definedName>
    <definedName name="Excel_BuiltIn_Print_Area_107" localSheetId="0">#REF!</definedName>
    <definedName name="Excel_BuiltIn_Print_Area_107" localSheetId="4">#REF!</definedName>
    <definedName name="Excel_BuiltIn_Print_Area_107">#REF!</definedName>
    <definedName name="Excel_BuiltIn_Print_Area_11" localSheetId="3">#REF!</definedName>
    <definedName name="Excel_BuiltIn_Print_Area_11" localSheetId="2">#REF!</definedName>
    <definedName name="Excel_BuiltIn_Print_Area_11" localSheetId="5">#REF!</definedName>
    <definedName name="Excel_BuiltIn_Print_Area_11" localSheetId="1">#REF!</definedName>
    <definedName name="Excel_BuiltIn_Print_Area_11" localSheetId="0">#REF!</definedName>
    <definedName name="Excel_BuiltIn_Print_Area_11" localSheetId="4">#REF!</definedName>
    <definedName name="Excel_BuiltIn_Print_Area_11">#REF!</definedName>
    <definedName name="Excel_BuiltIn_Print_Area_11_1" localSheetId="3">#REF!</definedName>
    <definedName name="Excel_BuiltIn_Print_Area_11_1" localSheetId="2">#REF!</definedName>
    <definedName name="Excel_BuiltIn_Print_Area_11_1" localSheetId="5">#REF!</definedName>
    <definedName name="Excel_BuiltIn_Print_Area_11_1" localSheetId="1">#REF!</definedName>
    <definedName name="Excel_BuiltIn_Print_Area_11_1" localSheetId="0">#REF!</definedName>
    <definedName name="Excel_BuiltIn_Print_Area_11_1" localSheetId="4">#REF!</definedName>
    <definedName name="Excel_BuiltIn_Print_Area_11_1">#REF!</definedName>
    <definedName name="Excel_BuiltIn_Print_Area_110" localSheetId="3">#REF!</definedName>
    <definedName name="Excel_BuiltIn_Print_Area_110" localSheetId="2">#REF!</definedName>
    <definedName name="Excel_BuiltIn_Print_Area_110" localSheetId="5">#REF!</definedName>
    <definedName name="Excel_BuiltIn_Print_Area_110" localSheetId="1">#REF!</definedName>
    <definedName name="Excel_BuiltIn_Print_Area_110" localSheetId="0">#REF!</definedName>
    <definedName name="Excel_BuiltIn_Print_Area_110" localSheetId="4">#REF!</definedName>
    <definedName name="Excel_BuiltIn_Print_Area_110">#REF!</definedName>
    <definedName name="Excel_BuiltIn_Print_Area_113_1" localSheetId="3">#REF!</definedName>
    <definedName name="Excel_BuiltIn_Print_Area_113_1" localSheetId="2">#REF!</definedName>
    <definedName name="Excel_BuiltIn_Print_Area_113_1" localSheetId="5">#REF!</definedName>
    <definedName name="Excel_BuiltIn_Print_Area_113_1" localSheetId="1">#REF!</definedName>
    <definedName name="Excel_BuiltIn_Print_Area_113_1" localSheetId="0">#REF!</definedName>
    <definedName name="Excel_BuiltIn_Print_Area_113_1" localSheetId="4">#REF!</definedName>
    <definedName name="Excel_BuiltIn_Print_Area_113_1">#REF!</definedName>
    <definedName name="Excel_BuiltIn_Print_Area_114_1">[17]LMCP_JF_B1_2!$A$1:$R$36</definedName>
    <definedName name="Excel_BuiltIn_Print_Area_12" localSheetId="3">#REF!</definedName>
    <definedName name="Excel_BuiltIn_Print_Area_12" localSheetId="2">#REF!</definedName>
    <definedName name="Excel_BuiltIn_Print_Area_12" localSheetId="5">#REF!</definedName>
    <definedName name="Excel_BuiltIn_Print_Area_12" localSheetId="1">#REF!</definedName>
    <definedName name="Excel_BuiltIn_Print_Area_12" localSheetId="0">#REF!</definedName>
    <definedName name="Excel_BuiltIn_Print_Area_12" localSheetId="4">#REF!</definedName>
    <definedName name="Excel_BuiltIn_Print_Area_12">#REF!</definedName>
    <definedName name="Excel_BuiltIn_Print_Area_125_1" localSheetId="3">#REF!</definedName>
    <definedName name="Excel_BuiltIn_Print_Area_125_1" localSheetId="2">#REF!</definedName>
    <definedName name="Excel_BuiltIn_Print_Area_125_1" localSheetId="5">#REF!</definedName>
    <definedName name="Excel_BuiltIn_Print_Area_125_1" localSheetId="1">#REF!</definedName>
    <definedName name="Excel_BuiltIn_Print_Area_125_1" localSheetId="0">#REF!</definedName>
    <definedName name="Excel_BuiltIn_Print_Area_125_1" localSheetId="4">#REF!</definedName>
    <definedName name="Excel_BuiltIn_Print_Area_125_1">#REF!</definedName>
    <definedName name="Excel_BuiltIn_Print_Area_126_1" localSheetId="3">#REF!</definedName>
    <definedName name="Excel_BuiltIn_Print_Area_126_1" localSheetId="2">#REF!</definedName>
    <definedName name="Excel_BuiltIn_Print_Area_126_1" localSheetId="5">#REF!</definedName>
    <definedName name="Excel_BuiltIn_Print_Area_126_1" localSheetId="1">#REF!</definedName>
    <definedName name="Excel_BuiltIn_Print_Area_126_1" localSheetId="0">#REF!</definedName>
    <definedName name="Excel_BuiltIn_Print_Area_126_1" localSheetId="4">#REF!</definedName>
    <definedName name="Excel_BuiltIn_Print_Area_126_1">#REF!</definedName>
    <definedName name="Excel_BuiltIn_Print_Area_127_1" localSheetId="3">#REF!</definedName>
    <definedName name="Excel_BuiltIn_Print_Area_127_1" localSheetId="2">#REF!</definedName>
    <definedName name="Excel_BuiltIn_Print_Area_127_1" localSheetId="5">#REF!</definedName>
    <definedName name="Excel_BuiltIn_Print_Area_127_1" localSheetId="1">#REF!</definedName>
    <definedName name="Excel_BuiltIn_Print_Area_127_1" localSheetId="0">#REF!</definedName>
    <definedName name="Excel_BuiltIn_Print_Area_127_1" localSheetId="4">#REF!</definedName>
    <definedName name="Excel_BuiltIn_Print_Area_127_1">#REF!</definedName>
    <definedName name="Excel_BuiltIn_Print_Area_128_1" localSheetId="3">#REF!</definedName>
    <definedName name="Excel_BuiltIn_Print_Area_128_1" localSheetId="2">#REF!</definedName>
    <definedName name="Excel_BuiltIn_Print_Area_128_1" localSheetId="5">#REF!</definedName>
    <definedName name="Excel_BuiltIn_Print_Area_128_1" localSheetId="1">#REF!</definedName>
    <definedName name="Excel_BuiltIn_Print_Area_128_1" localSheetId="0">#REF!</definedName>
    <definedName name="Excel_BuiltIn_Print_Area_128_1" localSheetId="4">#REF!</definedName>
    <definedName name="Excel_BuiltIn_Print_Area_128_1">#REF!</definedName>
    <definedName name="Excel_BuiltIn_Print_Area_13" localSheetId="3">#REF!</definedName>
    <definedName name="Excel_BuiltIn_Print_Area_13" localSheetId="2">#REF!</definedName>
    <definedName name="Excel_BuiltIn_Print_Area_13" localSheetId="5">#REF!</definedName>
    <definedName name="Excel_BuiltIn_Print_Area_13" localSheetId="1">#REF!</definedName>
    <definedName name="Excel_BuiltIn_Print_Area_13" localSheetId="0">#REF!</definedName>
    <definedName name="Excel_BuiltIn_Print_Area_13" localSheetId="4">#REF!</definedName>
    <definedName name="Excel_BuiltIn_Print_Area_13">#REF!</definedName>
    <definedName name="Excel_BuiltIn_Print_Area_14" localSheetId="3">#REF!</definedName>
    <definedName name="Excel_BuiltIn_Print_Area_14" localSheetId="2">#REF!</definedName>
    <definedName name="Excel_BuiltIn_Print_Area_14" localSheetId="5">#REF!</definedName>
    <definedName name="Excel_BuiltIn_Print_Area_14" localSheetId="1">#REF!</definedName>
    <definedName name="Excel_BuiltIn_Print_Area_14" localSheetId="0">#REF!</definedName>
    <definedName name="Excel_BuiltIn_Print_Area_14" localSheetId="4">#REF!</definedName>
    <definedName name="Excel_BuiltIn_Print_Area_14">#REF!</definedName>
    <definedName name="Excel_BuiltIn_Print_Area_15" localSheetId="3">[14]LMCP_AHU_H_3_5!$A$1:$S$33</definedName>
    <definedName name="Excel_BuiltIn_Print_Area_15" localSheetId="2">[14]LMCP_AHU_H_3_5!$A$1:$S$33</definedName>
    <definedName name="Excel_BuiltIn_Print_Area_15" localSheetId="5">[14]LMCP_AHU_H_3_5!$A$1:$S$33</definedName>
    <definedName name="Excel_BuiltIn_Print_Area_15" localSheetId="1">[14]LMCP_AHU_H_3_5!$A$1:$S$33</definedName>
    <definedName name="Excel_BuiltIn_Print_Area_15" localSheetId="4">[14]LMCP_AHU_H_3_5!$A$1:$S$33</definedName>
    <definedName name="Excel_BuiltIn_Print_Area_15">[14]LMCP_AHU_H_3_5!$A$1:$S$33</definedName>
    <definedName name="Excel_BuiltIn_Print_Area_16" localSheetId="3">#REF!</definedName>
    <definedName name="Excel_BuiltIn_Print_Area_16" localSheetId="2">#REF!</definedName>
    <definedName name="Excel_BuiltIn_Print_Area_16" localSheetId="5">#REF!</definedName>
    <definedName name="Excel_BuiltIn_Print_Area_16" localSheetId="1">#REF!</definedName>
    <definedName name="Excel_BuiltIn_Print_Area_16" localSheetId="0">#REF!</definedName>
    <definedName name="Excel_BuiltIn_Print_Area_16" localSheetId="4">#REF!</definedName>
    <definedName name="Excel_BuiltIn_Print_Area_16">#REF!</definedName>
    <definedName name="Excel_BuiltIn_Print_Area_17" localSheetId="3">#REF!</definedName>
    <definedName name="Excel_BuiltIn_Print_Area_17" localSheetId="2">#REF!</definedName>
    <definedName name="Excel_BuiltIn_Print_Area_17" localSheetId="5">#REF!</definedName>
    <definedName name="Excel_BuiltIn_Print_Area_17" localSheetId="1">#REF!</definedName>
    <definedName name="Excel_BuiltIn_Print_Area_17" localSheetId="0">#REF!</definedName>
    <definedName name="Excel_BuiltIn_Print_Area_17" localSheetId="4">#REF!</definedName>
    <definedName name="Excel_BuiltIn_Print_Area_17">#REF!</definedName>
    <definedName name="Excel_BuiltIn_Print_Area_17_1" localSheetId="3">#REF!</definedName>
    <definedName name="Excel_BuiltIn_Print_Area_17_1" localSheetId="2">#REF!</definedName>
    <definedName name="Excel_BuiltIn_Print_Area_17_1" localSheetId="5">#REF!</definedName>
    <definedName name="Excel_BuiltIn_Print_Area_17_1" localSheetId="1">#REF!</definedName>
    <definedName name="Excel_BuiltIn_Print_Area_17_1" localSheetId="0">#REF!</definedName>
    <definedName name="Excel_BuiltIn_Print_Area_17_1" localSheetId="4">#REF!</definedName>
    <definedName name="Excel_BuiltIn_Print_Area_17_1">#REF!</definedName>
    <definedName name="Excel_BuiltIn_Print_Area_18" localSheetId="3">[18]SBE_M_LGM_3!$A$1:$R$36</definedName>
    <definedName name="Excel_BuiltIn_Print_Area_18" localSheetId="2">[18]SBE_M_LGM_3!$A$1:$R$36</definedName>
    <definedName name="Excel_BuiltIn_Print_Area_18" localSheetId="5">[18]SBE_M_LGM_3!$A$1:$R$36</definedName>
    <definedName name="Excel_BuiltIn_Print_Area_18" localSheetId="1">[18]SBE_M_LGM_3!$A$1:$R$36</definedName>
    <definedName name="Excel_BuiltIn_Print_Area_18" localSheetId="4">[18]SBE_M_LGM_3!$A$1:$R$36</definedName>
    <definedName name="Excel_BuiltIn_Print_Area_18">[18]SBE_M_LGM_3!$A$1:$R$36</definedName>
    <definedName name="Excel_BuiltIn_Print_Area_18_1" localSheetId="3">#REF!</definedName>
    <definedName name="Excel_BuiltIn_Print_Area_18_1" localSheetId="2">#REF!</definedName>
    <definedName name="Excel_BuiltIn_Print_Area_18_1" localSheetId="5">#REF!</definedName>
    <definedName name="Excel_BuiltIn_Print_Area_18_1" localSheetId="1">#REF!</definedName>
    <definedName name="Excel_BuiltIn_Print_Area_18_1" localSheetId="0">#REF!</definedName>
    <definedName name="Excel_BuiltIn_Print_Area_18_1" localSheetId="4">#REF!</definedName>
    <definedName name="Excel_BuiltIn_Print_Area_18_1">#REF!</definedName>
    <definedName name="Excel_BuiltIn_Print_Area_19">[19]LMCP_SEF_R_LGM_1!$A$1:$R$35</definedName>
    <definedName name="Excel_BuiltIn_Print_Area_20" localSheetId="3">[18]SBE_M_LG_2!$A$1:$R$36</definedName>
    <definedName name="Excel_BuiltIn_Print_Area_20" localSheetId="2">[18]SBE_M_LG_2!$A$1:$R$36</definedName>
    <definedName name="Excel_BuiltIn_Print_Area_20" localSheetId="5">[18]SBE_M_LG_2!$A$1:$R$36</definedName>
    <definedName name="Excel_BuiltIn_Print_Area_20" localSheetId="1">[18]SBE_M_LG_2!$A$1:$R$36</definedName>
    <definedName name="Excel_BuiltIn_Print_Area_20" localSheetId="4">[18]SBE_M_LG_2!$A$1:$R$36</definedName>
    <definedName name="Excel_BuiltIn_Print_Area_20">[18]SBE_M_LG_2!$A$1:$R$36</definedName>
    <definedName name="Excel_BuiltIn_Print_Area_21">[20]LMCP_AHU_R_LG_1!$A$1:$R$34</definedName>
    <definedName name="Excel_BuiltIn_Print_Area_22" localSheetId="3">#REF!</definedName>
    <definedName name="Excel_BuiltIn_Print_Area_22" localSheetId="2">#REF!</definedName>
    <definedName name="Excel_BuiltIn_Print_Area_22" localSheetId="5">#REF!</definedName>
    <definedName name="Excel_BuiltIn_Print_Area_22" localSheetId="1">#REF!</definedName>
    <definedName name="Excel_BuiltIn_Print_Area_22" localSheetId="0">#REF!</definedName>
    <definedName name="Excel_BuiltIn_Print_Area_22" localSheetId="4">#REF!</definedName>
    <definedName name="Excel_BuiltIn_Print_Area_22">#REF!</definedName>
    <definedName name="Excel_BuiltIn_Print_Area_23">[19]LMCP_AHU_R_1_1!$A$1:$R$34</definedName>
    <definedName name="Excel_BuiltIn_Print_Area_24" localSheetId="3">#REF!</definedName>
    <definedName name="Excel_BuiltIn_Print_Area_24" localSheetId="2">#REF!</definedName>
    <definedName name="Excel_BuiltIn_Print_Area_24" localSheetId="5">#REF!</definedName>
    <definedName name="Excel_BuiltIn_Print_Area_24" localSheetId="1">#REF!</definedName>
    <definedName name="Excel_BuiltIn_Print_Area_24" localSheetId="0">#REF!</definedName>
    <definedName name="Excel_BuiltIn_Print_Area_24" localSheetId="4">#REF!</definedName>
    <definedName name="Excel_BuiltIn_Print_Area_24">#REF!</definedName>
    <definedName name="Excel_BuiltIn_Print_Area_25" localSheetId="3">#REF!</definedName>
    <definedName name="Excel_BuiltIn_Print_Area_25" localSheetId="2">#REF!</definedName>
    <definedName name="Excel_BuiltIn_Print_Area_25" localSheetId="5">#REF!</definedName>
    <definedName name="Excel_BuiltIn_Print_Area_25" localSheetId="1">#REF!</definedName>
    <definedName name="Excel_BuiltIn_Print_Area_25" localSheetId="0">#REF!</definedName>
    <definedName name="Excel_BuiltIn_Print_Area_25" localSheetId="4">#REF!</definedName>
    <definedName name="Excel_BuiltIn_Print_Area_25">#REF!</definedName>
    <definedName name="Excel_BuiltIn_Print_Area_26">[20]LMCP_SEF_R_1_1!$A$1:$R$34</definedName>
    <definedName name="Excel_BuiltIn_Print_Area_27" localSheetId="3">#REF!</definedName>
    <definedName name="Excel_BuiltIn_Print_Area_27" localSheetId="2">#REF!</definedName>
    <definedName name="Excel_BuiltIn_Print_Area_27" localSheetId="5">#REF!</definedName>
    <definedName name="Excel_BuiltIn_Print_Area_27" localSheetId="1">#REF!</definedName>
    <definedName name="Excel_BuiltIn_Print_Area_27" localSheetId="0">#REF!</definedName>
    <definedName name="Excel_BuiltIn_Print_Area_27" localSheetId="4">#REF!</definedName>
    <definedName name="Excel_BuiltIn_Print_Area_27">#REF!</definedName>
    <definedName name="Excel_BuiltIn_Print_Area_27_1" localSheetId="3">#REF!</definedName>
    <definedName name="Excel_BuiltIn_Print_Area_27_1" localSheetId="2">#REF!</definedName>
    <definedName name="Excel_BuiltIn_Print_Area_27_1" localSheetId="5">#REF!</definedName>
    <definedName name="Excel_BuiltIn_Print_Area_27_1" localSheetId="1">#REF!</definedName>
    <definedName name="Excel_BuiltIn_Print_Area_27_1" localSheetId="0">#REF!</definedName>
    <definedName name="Excel_BuiltIn_Print_Area_27_1" localSheetId="4">#REF!</definedName>
    <definedName name="Excel_BuiltIn_Print_Area_27_1">#REF!</definedName>
    <definedName name="Excel_BuiltIn_Print_Area_28" localSheetId="3">[4]SB_HC_LG_1!$A$1:$R$35</definedName>
    <definedName name="Excel_BuiltIn_Print_Area_28" localSheetId="2">[4]SB_HC_LG_1!$A$1:$R$35</definedName>
    <definedName name="Excel_BuiltIn_Print_Area_28" localSheetId="5">[4]SB_HC_LG_1!$A$1:$R$35</definedName>
    <definedName name="Excel_BuiltIn_Print_Area_28" localSheetId="1">[4]SB_HC_LG_1!$A$1:$R$35</definedName>
    <definedName name="Excel_BuiltIn_Print_Area_28" localSheetId="4">[4]SB_HC_LG_1!$A$1:$R$35</definedName>
    <definedName name="Excel_BuiltIn_Print_Area_28">[4]SB_HC_LG_1!$A$1:$R$35</definedName>
    <definedName name="Excel_BuiltIn_Print_Area_28_1" localSheetId="3">#REF!</definedName>
    <definedName name="Excel_BuiltIn_Print_Area_28_1" localSheetId="2">#REF!</definedName>
    <definedName name="Excel_BuiltIn_Print_Area_28_1" localSheetId="5">#REF!</definedName>
    <definedName name="Excel_BuiltIn_Print_Area_28_1" localSheetId="1">#REF!</definedName>
    <definedName name="Excel_BuiltIn_Print_Area_28_1" localSheetId="0">#REF!</definedName>
    <definedName name="Excel_BuiltIn_Print_Area_28_1" localSheetId="4">#REF!</definedName>
    <definedName name="Excel_BuiltIn_Print_Area_28_1">#REF!</definedName>
    <definedName name="Excel_BuiltIn_Print_Area_29_1" localSheetId="3">#REF!</definedName>
    <definedName name="Excel_BuiltIn_Print_Area_29_1" localSheetId="2">#REF!</definedName>
    <definedName name="Excel_BuiltIn_Print_Area_29_1" localSheetId="5">#REF!</definedName>
    <definedName name="Excel_BuiltIn_Print_Area_29_1" localSheetId="1">#REF!</definedName>
    <definedName name="Excel_BuiltIn_Print_Area_29_1" localSheetId="0">#REF!</definedName>
    <definedName name="Excel_BuiltIn_Print_Area_29_1" localSheetId="4">#REF!</definedName>
    <definedName name="Excel_BuiltIn_Print_Area_29_1">#REF!</definedName>
    <definedName name="Excel_BuiltIn_Print_Area_38_1" localSheetId="3">#REF!</definedName>
    <definedName name="Excel_BuiltIn_Print_Area_38_1" localSheetId="2">#REF!</definedName>
    <definedName name="Excel_BuiltIn_Print_Area_38_1" localSheetId="5">#REF!</definedName>
    <definedName name="Excel_BuiltIn_Print_Area_38_1" localSheetId="1">#REF!</definedName>
    <definedName name="Excel_BuiltIn_Print_Area_38_1" localSheetId="0">#REF!</definedName>
    <definedName name="Excel_BuiltIn_Print_Area_38_1" localSheetId="4">#REF!</definedName>
    <definedName name="Excel_BuiltIn_Print_Area_38_1">#REF!</definedName>
    <definedName name="Excel_BuiltIn_Print_Area_39_1" localSheetId="3">#REF!</definedName>
    <definedName name="Excel_BuiltIn_Print_Area_39_1" localSheetId="2">#REF!</definedName>
    <definedName name="Excel_BuiltIn_Print_Area_39_1" localSheetId="5">#REF!</definedName>
    <definedName name="Excel_BuiltIn_Print_Area_39_1" localSheetId="1">#REF!</definedName>
    <definedName name="Excel_BuiltIn_Print_Area_39_1" localSheetId="0">#REF!</definedName>
    <definedName name="Excel_BuiltIn_Print_Area_39_1" localSheetId="4">#REF!</definedName>
    <definedName name="Excel_BuiltIn_Print_Area_39_1">#REF!</definedName>
    <definedName name="Excel_BuiltIn_Print_Area_4" localSheetId="3">#REF!</definedName>
    <definedName name="Excel_BuiltIn_Print_Area_4" localSheetId="2">#REF!</definedName>
    <definedName name="Excel_BuiltIn_Print_Area_4" localSheetId="5">#REF!</definedName>
    <definedName name="Excel_BuiltIn_Print_Area_4" localSheetId="1">#REF!</definedName>
    <definedName name="Excel_BuiltIn_Print_Area_4" localSheetId="0">#REF!</definedName>
    <definedName name="Excel_BuiltIn_Print_Area_4" localSheetId="4">#REF!</definedName>
    <definedName name="Excel_BuiltIn_Print_Area_4">#REF!</definedName>
    <definedName name="Excel_BuiltIn_Print_Area_4_1" localSheetId="3">#REF!</definedName>
    <definedName name="Excel_BuiltIn_Print_Area_4_1" localSheetId="2">#REF!</definedName>
    <definedName name="Excel_BuiltIn_Print_Area_4_1" localSheetId="5">#REF!</definedName>
    <definedName name="Excel_BuiltIn_Print_Area_4_1" localSheetId="1">#REF!</definedName>
    <definedName name="Excel_BuiltIn_Print_Area_4_1" localSheetId="0">#REF!</definedName>
    <definedName name="Excel_BuiltIn_Print_Area_4_1" localSheetId="4">#REF!</definedName>
    <definedName name="Excel_BuiltIn_Print_Area_4_1">#REF!</definedName>
    <definedName name="Excel_BuiltIn_Print_Area_48_1" localSheetId="3">#REF!</definedName>
    <definedName name="Excel_BuiltIn_Print_Area_48_1" localSheetId="2">#REF!</definedName>
    <definedName name="Excel_BuiltIn_Print_Area_48_1" localSheetId="5">#REF!</definedName>
    <definedName name="Excel_BuiltIn_Print_Area_48_1" localSheetId="1">#REF!</definedName>
    <definedName name="Excel_BuiltIn_Print_Area_48_1" localSheetId="0">#REF!</definedName>
    <definedName name="Excel_BuiltIn_Print_Area_48_1" localSheetId="4">#REF!</definedName>
    <definedName name="Excel_BuiltIn_Print_Area_48_1">#REF!</definedName>
    <definedName name="Excel_BuiltIn_Print_Area_49_1" localSheetId="3">#REF!</definedName>
    <definedName name="Excel_BuiltIn_Print_Area_49_1" localSheetId="2">#REF!</definedName>
    <definedName name="Excel_BuiltIn_Print_Area_49_1" localSheetId="5">#REF!</definedName>
    <definedName name="Excel_BuiltIn_Print_Area_49_1" localSheetId="1">#REF!</definedName>
    <definedName name="Excel_BuiltIn_Print_Area_49_1" localSheetId="0">#REF!</definedName>
    <definedName name="Excel_BuiltIn_Print_Area_49_1" localSheetId="4">#REF!</definedName>
    <definedName name="Excel_BuiltIn_Print_Area_49_1">#REF!</definedName>
    <definedName name="Excel_BuiltIn_Print_Area_5" localSheetId="3">#REF!</definedName>
    <definedName name="Excel_BuiltIn_Print_Area_5" localSheetId="2">#REF!</definedName>
    <definedName name="Excel_BuiltIn_Print_Area_5" localSheetId="5">#REF!</definedName>
    <definedName name="Excel_BuiltIn_Print_Area_5" localSheetId="1">#REF!</definedName>
    <definedName name="Excel_BuiltIn_Print_Area_5" localSheetId="0">#REF!</definedName>
    <definedName name="Excel_BuiltIn_Print_Area_5" localSheetId="4">#REF!</definedName>
    <definedName name="Excel_BuiltIn_Print_Area_5">#REF!</definedName>
    <definedName name="Excel_BuiltIn_Print_Area_5_1" localSheetId="3">#REF!</definedName>
    <definedName name="Excel_BuiltIn_Print_Area_5_1" localSheetId="2">#REF!</definedName>
    <definedName name="Excel_BuiltIn_Print_Area_5_1" localSheetId="5">#REF!</definedName>
    <definedName name="Excel_BuiltIn_Print_Area_5_1" localSheetId="1">#REF!</definedName>
    <definedName name="Excel_BuiltIn_Print_Area_5_1" localSheetId="0">#REF!</definedName>
    <definedName name="Excel_BuiltIn_Print_Area_5_1" localSheetId="4">#REF!</definedName>
    <definedName name="Excel_BuiltIn_Print_Area_5_1">#REF!</definedName>
    <definedName name="Excel_BuiltIn_Print_Area_50_1" localSheetId="3">#REF!</definedName>
    <definedName name="Excel_BuiltIn_Print_Area_50_1" localSheetId="2">#REF!</definedName>
    <definedName name="Excel_BuiltIn_Print_Area_50_1" localSheetId="5">#REF!</definedName>
    <definedName name="Excel_BuiltIn_Print_Area_50_1" localSheetId="1">#REF!</definedName>
    <definedName name="Excel_BuiltIn_Print_Area_50_1" localSheetId="0">#REF!</definedName>
    <definedName name="Excel_BuiltIn_Print_Area_50_1" localSheetId="4">#REF!</definedName>
    <definedName name="Excel_BuiltIn_Print_Area_50_1">#REF!</definedName>
    <definedName name="Excel_BuiltIn_Print_Area_57_1" localSheetId="3">#REF!</definedName>
    <definedName name="Excel_BuiltIn_Print_Area_57_1" localSheetId="2">#REF!</definedName>
    <definedName name="Excel_BuiltIn_Print_Area_57_1" localSheetId="5">#REF!</definedName>
    <definedName name="Excel_BuiltIn_Print_Area_57_1" localSheetId="1">#REF!</definedName>
    <definedName name="Excel_BuiltIn_Print_Area_57_1" localSheetId="0">#REF!</definedName>
    <definedName name="Excel_BuiltIn_Print_Area_57_1" localSheetId="4">#REF!</definedName>
    <definedName name="Excel_BuiltIn_Print_Area_57_1">#REF!</definedName>
    <definedName name="Excel_BuiltIn_Print_Area_58_1" localSheetId="3">#REF!</definedName>
    <definedName name="Excel_BuiltIn_Print_Area_58_1" localSheetId="2">#REF!</definedName>
    <definedName name="Excel_BuiltIn_Print_Area_58_1" localSheetId="5">#REF!</definedName>
    <definedName name="Excel_BuiltIn_Print_Area_58_1" localSheetId="1">#REF!</definedName>
    <definedName name="Excel_BuiltIn_Print_Area_58_1" localSheetId="0">#REF!</definedName>
    <definedName name="Excel_BuiltIn_Print_Area_58_1" localSheetId="4">#REF!</definedName>
    <definedName name="Excel_BuiltIn_Print_Area_58_1">#REF!</definedName>
    <definedName name="Excel_BuiltIn_Print_Area_59_1" localSheetId="3">#REF!</definedName>
    <definedName name="Excel_BuiltIn_Print_Area_59_1" localSheetId="2">#REF!</definedName>
    <definedName name="Excel_BuiltIn_Print_Area_59_1" localSheetId="5">#REF!</definedName>
    <definedName name="Excel_BuiltIn_Print_Area_59_1" localSheetId="1">#REF!</definedName>
    <definedName name="Excel_BuiltIn_Print_Area_59_1" localSheetId="0">#REF!</definedName>
    <definedName name="Excel_BuiltIn_Print_Area_59_1" localSheetId="4">#REF!</definedName>
    <definedName name="Excel_BuiltIn_Print_Area_59_1">#REF!</definedName>
    <definedName name="Excel_BuiltIn_Print_Area_6">'[21]LMCP_FP_HA_L6_1  _DUTY_'!$A$1:$S$33</definedName>
    <definedName name="Excel_BuiltIn_Print_Area_6_1" localSheetId="3">#REF!</definedName>
    <definedName name="Excel_BuiltIn_Print_Area_6_1" localSheetId="2">#REF!</definedName>
    <definedName name="Excel_BuiltIn_Print_Area_6_1" localSheetId="5">#REF!</definedName>
    <definedName name="Excel_BuiltIn_Print_Area_6_1" localSheetId="1">#REF!</definedName>
    <definedName name="Excel_BuiltIn_Print_Area_6_1" localSheetId="0">#REF!</definedName>
    <definedName name="Excel_BuiltIn_Print_Area_6_1" localSheetId="4">#REF!</definedName>
    <definedName name="Excel_BuiltIn_Print_Area_6_1">#REF!</definedName>
    <definedName name="Excel_BuiltIn_Print_Area_7" localSheetId="3">#REF!</definedName>
    <definedName name="Excel_BuiltIn_Print_Area_7" localSheetId="2">#REF!</definedName>
    <definedName name="Excel_BuiltIn_Print_Area_7" localSheetId="5">#REF!</definedName>
    <definedName name="Excel_BuiltIn_Print_Area_7" localSheetId="1">#REF!</definedName>
    <definedName name="Excel_BuiltIn_Print_Area_7" localSheetId="0">#REF!</definedName>
    <definedName name="Excel_BuiltIn_Print_Area_7" localSheetId="4">#REF!</definedName>
    <definedName name="Excel_BuiltIn_Print_Area_7">#REF!</definedName>
    <definedName name="Excel_BuiltIn_Print_Area_7_1" localSheetId="3">#REF!</definedName>
    <definedName name="Excel_BuiltIn_Print_Area_7_1" localSheetId="2">#REF!</definedName>
    <definedName name="Excel_BuiltIn_Print_Area_7_1" localSheetId="5">#REF!</definedName>
    <definedName name="Excel_BuiltIn_Print_Area_7_1" localSheetId="1">#REF!</definedName>
    <definedName name="Excel_BuiltIn_Print_Area_7_1" localSheetId="0">#REF!</definedName>
    <definedName name="Excel_BuiltIn_Print_Area_7_1" localSheetId="4">#REF!</definedName>
    <definedName name="Excel_BuiltIn_Print_Area_7_1">#REF!</definedName>
    <definedName name="Excel_BuiltIn_Print_Area_8" localSheetId="3">#REF!</definedName>
    <definedName name="Excel_BuiltIn_Print_Area_8" localSheetId="2">#REF!</definedName>
    <definedName name="Excel_BuiltIn_Print_Area_8" localSheetId="5">#REF!</definedName>
    <definedName name="Excel_BuiltIn_Print_Area_8" localSheetId="1">#REF!</definedName>
    <definedName name="Excel_BuiltIn_Print_Area_8" localSheetId="0">#REF!</definedName>
    <definedName name="Excel_BuiltIn_Print_Area_8" localSheetId="4">#REF!</definedName>
    <definedName name="Excel_BuiltIn_Print_Area_8">#REF!</definedName>
    <definedName name="Excel_BuiltIn_Print_Area_86_1" localSheetId="3">#REF!</definedName>
    <definedName name="Excel_BuiltIn_Print_Area_86_1" localSheetId="2">#REF!</definedName>
    <definedName name="Excel_BuiltIn_Print_Area_86_1" localSheetId="5">#REF!</definedName>
    <definedName name="Excel_BuiltIn_Print_Area_86_1" localSheetId="1">#REF!</definedName>
    <definedName name="Excel_BuiltIn_Print_Area_86_1" localSheetId="0">#REF!</definedName>
    <definedName name="Excel_BuiltIn_Print_Area_86_1" localSheetId="4">#REF!</definedName>
    <definedName name="Excel_BuiltIn_Print_Area_86_1">#REF!</definedName>
    <definedName name="Excel_BuiltIn_Print_Area_87_1" localSheetId="3">#REF!</definedName>
    <definedName name="Excel_BuiltIn_Print_Area_87_1" localSheetId="2">#REF!</definedName>
    <definedName name="Excel_BuiltIn_Print_Area_87_1" localSheetId="5">#REF!</definedName>
    <definedName name="Excel_BuiltIn_Print_Area_87_1" localSheetId="1">#REF!</definedName>
    <definedName name="Excel_BuiltIn_Print_Area_87_1" localSheetId="0">#REF!</definedName>
    <definedName name="Excel_BuiltIn_Print_Area_87_1" localSheetId="4">#REF!</definedName>
    <definedName name="Excel_BuiltIn_Print_Area_87_1">#REF!</definedName>
    <definedName name="Excel_BuiltIn_Print_Area_88_1" localSheetId="3">#REF!</definedName>
    <definedName name="Excel_BuiltIn_Print_Area_88_1" localSheetId="2">#REF!</definedName>
    <definedName name="Excel_BuiltIn_Print_Area_88_1" localSheetId="5">#REF!</definedName>
    <definedName name="Excel_BuiltIn_Print_Area_88_1" localSheetId="1">#REF!</definedName>
    <definedName name="Excel_BuiltIn_Print_Area_88_1" localSheetId="0">#REF!</definedName>
    <definedName name="Excel_BuiltIn_Print_Area_88_1" localSheetId="4">#REF!</definedName>
    <definedName name="Excel_BuiltIn_Print_Area_88_1">#REF!</definedName>
    <definedName name="Excel_BuiltIn_Print_Area_89_1" localSheetId="3">#REF!</definedName>
    <definedName name="Excel_BuiltIn_Print_Area_89_1" localSheetId="2">#REF!</definedName>
    <definedName name="Excel_BuiltIn_Print_Area_89_1" localSheetId="5">#REF!</definedName>
    <definedName name="Excel_BuiltIn_Print_Area_89_1" localSheetId="1">#REF!</definedName>
    <definedName name="Excel_BuiltIn_Print_Area_89_1" localSheetId="0">#REF!</definedName>
    <definedName name="Excel_BuiltIn_Print_Area_89_1" localSheetId="4">#REF!</definedName>
    <definedName name="Excel_BuiltIn_Print_Area_89_1">#REF!</definedName>
    <definedName name="Excel_BuiltIn_Print_Area_9" localSheetId="3">#REF!</definedName>
    <definedName name="Excel_BuiltIn_Print_Area_9" localSheetId="2">#REF!</definedName>
    <definedName name="Excel_BuiltIn_Print_Area_9" localSheetId="5">#REF!</definedName>
    <definedName name="Excel_BuiltIn_Print_Area_9" localSheetId="1">#REF!</definedName>
    <definedName name="Excel_BuiltIn_Print_Area_9" localSheetId="0">#REF!</definedName>
    <definedName name="Excel_BuiltIn_Print_Area_9" localSheetId="4">#REF!</definedName>
    <definedName name="Excel_BuiltIn_Print_Area_9">#REF!</definedName>
    <definedName name="Excel_BuiltIn_Print_Area_90_1" localSheetId="3">#REF!</definedName>
    <definedName name="Excel_BuiltIn_Print_Area_90_1" localSheetId="2">#REF!</definedName>
    <definedName name="Excel_BuiltIn_Print_Area_90_1" localSheetId="5">#REF!</definedName>
    <definedName name="Excel_BuiltIn_Print_Area_90_1" localSheetId="1">#REF!</definedName>
    <definedName name="Excel_BuiltIn_Print_Area_90_1" localSheetId="0">#REF!</definedName>
    <definedName name="Excel_BuiltIn_Print_Area_90_1" localSheetId="4">#REF!</definedName>
    <definedName name="Excel_BuiltIn_Print_Area_90_1">#REF!</definedName>
    <definedName name="Excel_BuiltIn_Print_Area_91_1" localSheetId="3">#REF!</definedName>
    <definedName name="Excel_BuiltIn_Print_Area_91_1" localSheetId="2">#REF!</definedName>
    <definedName name="Excel_BuiltIn_Print_Area_91_1" localSheetId="5">#REF!</definedName>
    <definedName name="Excel_BuiltIn_Print_Area_91_1" localSheetId="1">#REF!</definedName>
    <definedName name="Excel_BuiltIn_Print_Area_91_1" localSheetId="0">#REF!</definedName>
    <definedName name="Excel_BuiltIn_Print_Area_91_1" localSheetId="4">#REF!</definedName>
    <definedName name="Excel_BuiltIn_Print_Area_91_1">#REF!</definedName>
    <definedName name="Excel_BuiltIn_Print_Area_92_1" localSheetId="3">#REF!</definedName>
    <definedName name="Excel_BuiltIn_Print_Area_92_1" localSheetId="2">#REF!</definedName>
    <definedName name="Excel_BuiltIn_Print_Area_92_1" localSheetId="5">#REF!</definedName>
    <definedName name="Excel_BuiltIn_Print_Area_92_1" localSheetId="1">#REF!</definedName>
    <definedName name="Excel_BuiltIn_Print_Area_92_1" localSheetId="0">#REF!</definedName>
    <definedName name="Excel_BuiltIn_Print_Area_92_1" localSheetId="4">#REF!</definedName>
    <definedName name="Excel_BuiltIn_Print_Area_92_1">#REF!</definedName>
    <definedName name="Excel_BuiltIn_Print_Area_93_1" localSheetId="3">#REF!</definedName>
    <definedName name="Excel_BuiltIn_Print_Area_93_1" localSheetId="2">#REF!</definedName>
    <definedName name="Excel_BuiltIn_Print_Area_93_1" localSheetId="5">#REF!</definedName>
    <definedName name="Excel_BuiltIn_Print_Area_93_1" localSheetId="1">#REF!</definedName>
    <definedName name="Excel_BuiltIn_Print_Area_93_1" localSheetId="0">#REF!</definedName>
    <definedName name="Excel_BuiltIn_Print_Area_93_1" localSheetId="4">#REF!</definedName>
    <definedName name="Excel_BuiltIn_Print_Area_93_1">#REF!</definedName>
    <definedName name="Excel_BuiltIn_Print_Area_94_1" localSheetId="3">#REF!</definedName>
    <definedName name="Excel_BuiltIn_Print_Area_94_1" localSheetId="2">#REF!</definedName>
    <definedName name="Excel_BuiltIn_Print_Area_94_1" localSheetId="5">#REF!</definedName>
    <definedName name="Excel_BuiltIn_Print_Area_94_1" localSheetId="1">#REF!</definedName>
    <definedName name="Excel_BuiltIn_Print_Area_94_1" localSheetId="0">#REF!</definedName>
    <definedName name="Excel_BuiltIn_Print_Area_94_1" localSheetId="4">#REF!</definedName>
    <definedName name="Excel_BuiltIn_Print_Area_94_1">#REF!</definedName>
    <definedName name="Excel_BuiltIn_Print_Area_95_1" localSheetId="3">#REF!</definedName>
    <definedName name="Excel_BuiltIn_Print_Area_95_1" localSheetId="2">#REF!</definedName>
    <definedName name="Excel_BuiltIn_Print_Area_95_1" localSheetId="5">#REF!</definedName>
    <definedName name="Excel_BuiltIn_Print_Area_95_1" localSheetId="1">#REF!</definedName>
    <definedName name="Excel_BuiltIn_Print_Area_95_1" localSheetId="0">#REF!</definedName>
    <definedName name="Excel_BuiltIn_Print_Area_95_1" localSheetId="4">#REF!</definedName>
    <definedName name="Excel_BuiltIn_Print_Area_95_1">#REF!</definedName>
    <definedName name="Excel_BuiltIn_Print_Area_96_1" localSheetId="3">#REF!</definedName>
    <definedName name="Excel_BuiltIn_Print_Area_96_1" localSheetId="2">#REF!</definedName>
    <definedName name="Excel_BuiltIn_Print_Area_96_1" localSheetId="5">#REF!</definedName>
    <definedName name="Excel_BuiltIn_Print_Area_96_1" localSheetId="1">#REF!</definedName>
    <definedName name="Excel_BuiltIn_Print_Area_96_1" localSheetId="0">#REF!</definedName>
    <definedName name="Excel_BuiltIn_Print_Area_96_1" localSheetId="4">#REF!</definedName>
    <definedName name="Excel_BuiltIn_Print_Area_96_1">#REF!</definedName>
    <definedName name="Excel_BuiltIn_Print_Area_97_1" localSheetId="3">#REF!</definedName>
    <definedName name="Excel_BuiltIn_Print_Area_97_1" localSheetId="2">#REF!</definedName>
    <definedName name="Excel_BuiltIn_Print_Area_97_1" localSheetId="5">#REF!</definedName>
    <definedName name="Excel_BuiltIn_Print_Area_97_1" localSheetId="1">#REF!</definedName>
    <definedName name="Excel_BuiltIn_Print_Area_97_1" localSheetId="0">#REF!</definedName>
    <definedName name="Excel_BuiltIn_Print_Area_97_1" localSheetId="4">#REF!</definedName>
    <definedName name="Excel_BuiltIn_Print_Area_97_1">#REF!</definedName>
    <definedName name="Excel_BuiltIn_Print_Area_98_1" localSheetId="3">#REF!</definedName>
    <definedName name="Excel_BuiltIn_Print_Area_98_1" localSheetId="2">#REF!</definedName>
    <definedName name="Excel_BuiltIn_Print_Area_98_1" localSheetId="5">#REF!</definedName>
    <definedName name="Excel_BuiltIn_Print_Area_98_1" localSheetId="1">#REF!</definedName>
    <definedName name="Excel_BuiltIn_Print_Area_98_1" localSheetId="0">#REF!</definedName>
    <definedName name="Excel_BuiltIn_Print_Area_98_1" localSheetId="4">#REF!</definedName>
    <definedName name="Excel_BuiltIn_Print_Area_98_1">#REF!</definedName>
    <definedName name="Excel_BuiltIn_Print_Area_99_1" localSheetId="3">#REF!</definedName>
    <definedName name="Excel_BuiltIn_Print_Area_99_1" localSheetId="2">#REF!</definedName>
    <definedName name="Excel_BuiltIn_Print_Area_99_1" localSheetId="5">#REF!</definedName>
    <definedName name="Excel_BuiltIn_Print_Area_99_1" localSheetId="1">#REF!</definedName>
    <definedName name="Excel_BuiltIn_Print_Area_99_1" localSheetId="0">#REF!</definedName>
    <definedName name="Excel_BuiltIn_Print_Area_99_1" localSheetId="4">#REF!</definedName>
    <definedName name="Excel_BuiltIn_Print_Area_99_1">#REF!</definedName>
    <definedName name="_xlnm.Print_Area" localSheetId="3">'1-SPA-1'!$A$1:$Z$39</definedName>
    <definedName name="_xlnm.Print_Area" localSheetId="2">'1-SPA2'!$A$1:$Y$51</definedName>
    <definedName name="_xlnm.Print_Area" localSheetId="5">'1-SPA-3'!$A$1:$Z$39</definedName>
    <definedName name="_xlnm.Print_Area" localSheetId="1">'DB-1-N2'!$A$1:$AD$51</definedName>
    <definedName name="_xlnm.Print_Area" localSheetId="4">'SP-LL'!$A$1:$AI$45</definedName>
    <definedName name="Print_Area_MI" localSheetId="3">#REF!</definedName>
    <definedName name="Print_Area_MI" localSheetId="2">#REF!</definedName>
    <definedName name="Print_Area_MI" localSheetId="5">#REF!</definedName>
    <definedName name="Print_Area_MI" localSheetId="1">#REF!</definedName>
    <definedName name="Print_Area_MI" localSheetId="0">#REF!</definedName>
    <definedName name="Print_Area_MI" localSheetId="4">#REF!</definedName>
    <definedName name="Print_Area_MI">#REF!</definedName>
    <definedName name="Print_Area_MI_1" localSheetId="3">#REF!</definedName>
    <definedName name="Print_Area_MI_1" localSheetId="2">#REF!</definedName>
    <definedName name="Print_Area_MI_1" localSheetId="5">#REF!</definedName>
    <definedName name="Print_Area_MI_1" localSheetId="1">#REF!</definedName>
    <definedName name="Print_Area_MI_1" localSheetId="0">#REF!</definedName>
    <definedName name="Print_Area_MI_1" localSheetId="4">#REF!</definedName>
    <definedName name="Print_Area_MI_1">#REF!</definedName>
    <definedName name="Print_Area_MI_10" localSheetId="3">#REF!</definedName>
    <definedName name="Print_Area_MI_10" localSheetId="2">#REF!</definedName>
    <definedName name="Print_Area_MI_10" localSheetId="5">#REF!</definedName>
    <definedName name="Print_Area_MI_10" localSheetId="1">#REF!</definedName>
    <definedName name="Print_Area_MI_10" localSheetId="0">#REF!</definedName>
    <definedName name="Print_Area_MI_10" localSheetId="4">#REF!</definedName>
    <definedName name="Print_Area_MI_10">#REF!</definedName>
    <definedName name="Print_Area_MI_100" localSheetId="3">#REF!</definedName>
    <definedName name="Print_Area_MI_100" localSheetId="2">#REF!</definedName>
    <definedName name="Print_Area_MI_100" localSheetId="5">#REF!</definedName>
    <definedName name="Print_Area_MI_100" localSheetId="1">#REF!</definedName>
    <definedName name="Print_Area_MI_100" localSheetId="0">#REF!</definedName>
    <definedName name="Print_Area_MI_100" localSheetId="4">#REF!</definedName>
    <definedName name="Print_Area_MI_100">#REF!</definedName>
    <definedName name="Print_Area_MI_103" localSheetId="3">#REF!</definedName>
    <definedName name="Print_Area_MI_103" localSheetId="2">#REF!</definedName>
    <definedName name="Print_Area_MI_103" localSheetId="5">#REF!</definedName>
    <definedName name="Print_Area_MI_103" localSheetId="1">#REF!</definedName>
    <definedName name="Print_Area_MI_103" localSheetId="0">#REF!</definedName>
    <definedName name="Print_Area_MI_103" localSheetId="4">#REF!</definedName>
    <definedName name="Print_Area_MI_103">#REF!</definedName>
    <definedName name="Print_Area_MI_104" localSheetId="3">#REF!</definedName>
    <definedName name="Print_Area_MI_104" localSheetId="2">#REF!</definedName>
    <definedName name="Print_Area_MI_104" localSheetId="5">#REF!</definedName>
    <definedName name="Print_Area_MI_104" localSheetId="1">#REF!</definedName>
    <definedName name="Print_Area_MI_104" localSheetId="0">#REF!</definedName>
    <definedName name="Print_Area_MI_104" localSheetId="4">#REF!</definedName>
    <definedName name="Print_Area_MI_104">#REF!</definedName>
    <definedName name="Print_Area_MI_107" localSheetId="3">#REF!</definedName>
    <definedName name="Print_Area_MI_107" localSheetId="2">#REF!</definedName>
    <definedName name="Print_Area_MI_107" localSheetId="5">#REF!</definedName>
    <definedName name="Print_Area_MI_107" localSheetId="1">#REF!</definedName>
    <definedName name="Print_Area_MI_107" localSheetId="0">#REF!</definedName>
    <definedName name="Print_Area_MI_107" localSheetId="4">#REF!</definedName>
    <definedName name="Print_Area_MI_107">#REF!</definedName>
    <definedName name="Print_Area_MI_11" localSheetId="3">#REF!</definedName>
    <definedName name="Print_Area_MI_11" localSheetId="2">#REF!</definedName>
    <definedName name="Print_Area_MI_11" localSheetId="5">#REF!</definedName>
    <definedName name="Print_Area_MI_11" localSheetId="1">#REF!</definedName>
    <definedName name="Print_Area_MI_11" localSheetId="0">#REF!</definedName>
    <definedName name="Print_Area_MI_11" localSheetId="4">#REF!</definedName>
    <definedName name="Print_Area_MI_11">#REF!</definedName>
    <definedName name="Print_Area_MI_110" localSheetId="3">#REF!</definedName>
    <definedName name="Print_Area_MI_110" localSheetId="2">#REF!</definedName>
    <definedName name="Print_Area_MI_110" localSheetId="5">#REF!</definedName>
    <definedName name="Print_Area_MI_110" localSheetId="1">#REF!</definedName>
    <definedName name="Print_Area_MI_110" localSheetId="0">#REF!</definedName>
    <definedName name="Print_Area_MI_110" localSheetId="4">#REF!</definedName>
    <definedName name="Print_Area_MI_110">#REF!</definedName>
    <definedName name="Print_Area_MI_111" localSheetId="3">#REF!</definedName>
    <definedName name="Print_Area_MI_111" localSheetId="2">#REF!</definedName>
    <definedName name="Print_Area_MI_111" localSheetId="5">#REF!</definedName>
    <definedName name="Print_Area_MI_111" localSheetId="1">#REF!</definedName>
    <definedName name="Print_Area_MI_111" localSheetId="0">#REF!</definedName>
    <definedName name="Print_Area_MI_111" localSheetId="4">#REF!</definedName>
    <definedName name="Print_Area_MI_111">#REF!</definedName>
    <definedName name="Print_Area_MI_112" localSheetId="3">#REF!</definedName>
    <definedName name="Print_Area_MI_112" localSheetId="2">#REF!</definedName>
    <definedName name="Print_Area_MI_112" localSheetId="5">#REF!</definedName>
    <definedName name="Print_Area_MI_112" localSheetId="1">#REF!</definedName>
    <definedName name="Print_Area_MI_112" localSheetId="0">#REF!</definedName>
    <definedName name="Print_Area_MI_112" localSheetId="4">#REF!</definedName>
    <definedName name="Print_Area_MI_112">#REF!</definedName>
    <definedName name="Print_Area_MI_113" localSheetId="3">#REF!</definedName>
    <definedName name="Print_Area_MI_113" localSheetId="2">#REF!</definedName>
    <definedName name="Print_Area_MI_113" localSheetId="5">#REF!</definedName>
    <definedName name="Print_Area_MI_113" localSheetId="1">#REF!</definedName>
    <definedName name="Print_Area_MI_113" localSheetId="0">#REF!</definedName>
    <definedName name="Print_Area_MI_113" localSheetId="4">#REF!</definedName>
    <definedName name="Print_Area_MI_113">#REF!</definedName>
    <definedName name="Print_Area_MI_116" localSheetId="3">#REF!</definedName>
    <definedName name="Print_Area_MI_116" localSheetId="2">#REF!</definedName>
    <definedName name="Print_Area_MI_116" localSheetId="5">#REF!</definedName>
    <definedName name="Print_Area_MI_116" localSheetId="1">#REF!</definedName>
    <definedName name="Print_Area_MI_116" localSheetId="0">#REF!</definedName>
    <definedName name="Print_Area_MI_116" localSheetId="4">#REF!</definedName>
    <definedName name="Print_Area_MI_116">#REF!</definedName>
    <definedName name="Print_Area_MI_117" localSheetId="3">#REF!</definedName>
    <definedName name="Print_Area_MI_117" localSheetId="2">#REF!</definedName>
    <definedName name="Print_Area_MI_117" localSheetId="5">#REF!</definedName>
    <definedName name="Print_Area_MI_117" localSheetId="1">#REF!</definedName>
    <definedName name="Print_Area_MI_117" localSheetId="0">#REF!</definedName>
    <definedName name="Print_Area_MI_117" localSheetId="4">#REF!</definedName>
    <definedName name="Print_Area_MI_117">#REF!</definedName>
    <definedName name="Print_Area_MI_118" localSheetId="3">#REF!</definedName>
    <definedName name="Print_Area_MI_118" localSheetId="2">#REF!</definedName>
    <definedName name="Print_Area_MI_118" localSheetId="5">#REF!</definedName>
    <definedName name="Print_Area_MI_118" localSheetId="1">#REF!</definedName>
    <definedName name="Print_Area_MI_118" localSheetId="0">#REF!</definedName>
    <definedName name="Print_Area_MI_118" localSheetId="4">#REF!</definedName>
    <definedName name="Print_Area_MI_118">#REF!</definedName>
    <definedName name="Print_Area_MI_12" localSheetId="3">#REF!</definedName>
    <definedName name="Print_Area_MI_12" localSheetId="2">#REF!</definedName>
    <definedName name="Print_Area_MI_12" localSheetId="5">#REF!</definedName>
    <definedName name="Print_Area_MI_12" localSheetId="1">#REF!</definedName>
    <definedName name="Print_Area_MI_12" localSheetId="0">#REF!</definedName>
    <definedName name="Print_Area_MI_12" localSheetId="4">#REF!</definedName>
    <definedName name="Print_Area_MI_12">#REF!</definedName>
    <definedName name="Print_Area_MI_125" localSheetId="3">#REF!</definedName>
    <definedName name="Print_Area_MI_125" localSheetId="2">#REF!</definedName>
    <definedName name="Print_Area_MI_125" localSheetId="5">#REF!</definedName>
    <definedName name="Print_Area_MI_125" localSheetId="1">#REF!</definedName>
    <definedName name="Print_Area_MI_125" localSheetId="0">#REF!</definedName>
    <definedName name="Print_Area_MI_125" localSheetId="4">#REF!</definedName>
    <definedName name="Print_Area_MI_125">#REF!</definedName>
    <definedName name="Print_Area_MI_14" localSheetId="3">#REF!</definedName>
    <definedName name="Print_Area_MI_14" localSheetId="2">#REF!</definedName>
    <definedName name="Print_Area_MI_14" localSheetId="5">#REF!</definedName>
    <definedName name="Print_Area_MI_14" localSheetId="1">#REF!</definedName>
    <definedName name="Print_Area_MI_14" localSheetId="0">#REF!</definedName>
    <definedName name="Print_Area_MI_14" localSheetId="4">#REF!</definedName>
    <definedName name="Print_Area_MI_14">#REF!</definedName>
    <definedName name="Print_Area_MI_140" localSheetId="3">#REF!</definedName>
    <definedName name="Print_Area_MI_140" localSheetId="2">#REF!</definedName>
    <definedName name="Print_Area_MI_140" localSheetId="5">#REF!</definedName>
    <definedName name="Print_Area_MI_140" localSheetId="1">#REF!</definedName>
    <definedName name="Print_Area_MI_140" localSheetId="0">#REF!</definedName>
    <definedName name="Print_Area_MI_140" localSheetId="4">#REF!</definedName>
    <definedName name="Print_Area_MI_140">#REF!</definedName>
    <definedName name="Print_Area_MI_15" localSheetId="3">#REF!</definedName>
    <definedName name="Print_Area_MI_15" localSheetId="2">#REF!</definedName>
    <definedName name="Print_Area_MI_15" localSheetId="5">#REF!</definedName>
    <definedName name="Print_Area_MI_15" localSheetId="1">#REF!</definedName>
    <definedName name="Print_Area_MI_15" localSheetId="0">#REF!</definedName>
    <definedName name="Print_Area_MI_15" localSheetId="4">#REF!</definedName>
    <definedName name="Print_Area_MI_15">#REF!</definedName>
    <definedName name="Print_Area_MI_16" localSheetId="3">#REF!</definedName>
    <definedName name="Print_Area_MI_16" localSheetId="2">#REF!</definedName>
    <definedName name="Print_Area_MI_16" localSheetId="5">#REF!</definedName>
    <definedName name="Print_Area_MI_16" localSheetId="1">#REF!</definedName>
    <definedName name="Print_Area_MI_16" localSheetId="0">#REF!</definedName>
    <definedName name="Print_Area_MI_16" localSheetId="4">#REF!</definedName>
    <definedName name="Print_Area_MI_16">#REF!</definedName>
    <definedName name="Print_Area_MI_17" localSheetId="3">#REF!</definedName>
    <definedName name="Print_Area_MI_17" localSheetId="2">#REF!</definedName>
    <definedName name="Print_Area_MI_17" localSheetId="5">#REF!</definedName>
    <definedName name="Print_Area_MI_17" localSheetId="1">#REF!</definedName>
    <definedName name="Print_Area_MI_17" localSheetId="0">#REF!</definedName>
    <definedName name="Print_Area_MI_17" localSheetId="4">#REF!</definedName>
    <definedName name="Print_Area_MI_17">#REF!</definedName>
    <definedName name="Print_Area_MI_18" localSheetId="3">#REF!</definedName>
    <definedName name="Print_Area_MI_18" localSheetId="2">#REF!</definedName>
    <definedName name="Print_Area_MI_18" localSheetId="5">#REF!</definedName>
    <definedName name="Print_Area_MI_18" localSheetId="1">#REF!</definedName>
    <definedName name="Print_Area_MI_18" localSheetId="0">#REF!</definedName>
    <definedName name="Print_Area_MI_18" localSheetId="4">#REF!</definedName>
    <definedName name="Print_Area_MI_18">#REF!</definedName>
    <definedName name="Print_Area_MI_19" localSheetId="3">#REF!</definedName>
    <definedName name="Print_Area_MI_19" localSheetId="2">#REF!</definedName>
    <definedName name="Print_Area_MI_19" localSheetId="5">#REF!</definedName>
    <definedName name="Print_Area_MI_19" localSheetId="1">#REF!</definedName>
    <definedName name="Print_Area_MI_19" localSheetId="0">#REF!</definedName>
    <definedName name="Print_Area_MI_19" localSheetId="4">#REF!</definedName>
    <definedName name="Print_Area_MI_19">#REF!</definedName>
    <definedName name="Print_Area_MI_20" localSheetId="3">#REF!</definedName>
    <definedName name="Print_Area_MI_20" localSheetId="2">#REF!</definedName>
    <definedName name="Print_Area_MI_20" localSheetId="5">#REF!</definedName>
    <definedName name="Print_Area_MI_20" localSheetId="1">#REF!</definedName>
    <definedName name="Print_Area_MI_20" localSheetId="0">#REF!</definedName>
    <definedName name="Print_Area_MI_20" localSheetId="4">#REF!</definedName>
    <definedName name="Print_Area_MI_20">#REF!</definedName>
    <definedName name="Print_Area_MI_21" localSheetId="3">#REF!</definedName>
    <definedName name="Print_Area_MI_21" localSheetId="2">#REF!</definedName>
    <definedName name="Print_Area_MI_21" localSheetId="5">#REF!</definedName>
    <definedName name="Print_Area_MI_21" localSheetId="1">#REF!</definedName>
    <definedName name="Print_Area_MI_21" localSheetId="0">#REF!</definedName>
    <definedName name="Print_Area_MI_21" localSheetId="4">#REF!</definedName>
    <definedName name="Print_Area_MI_21">#REF!</definedName>
    <definedName name="Print_Area_MI_22" localSheetId="3">#REF!</definedName>
    <definedName name="Print_Area_MI_22" localSheetId="2">#REF!</definedName>
    <definedName name="Print_Area_MI_22" localSheetId="5">#REF!</definedName>
    <definedName name="Print_Area_MI_22" localSheetId="1">#REF!</definedName>
    <definedName name="Print_Area_MI_22" localSheetId="0">#REF!</definedName>
    <definedName name="Print_Area_MI_22" localSheetId="4">#REF!</definedName>
    <definedName name="Print_Area_MI_22">#REF!</definedName>
    <definedName name="Print_Area_MI_23" localSheetId="3">#REF!</definedName>
    <definedName name="Print_Area_MI_23" localSheetId="2">#REF!</definedName>
    <definedName name="Print_Area_MI_23" localSheetId="5">#REF!</definedName>
    <definedName name="Print_Area_MI_23" localSheetId="1">#REF!</definedName>
    <definedName name="Print_Area_MI_23" localSheetId="0">#REF!</definedName>
    <definedName name="Print_Area_MI_23" localSheetId="4">#REF!</definedName>
    <definedName name="Print_Area_MI_23">#REF!</definedName>
    <definedName name="Print_Area_MI_24" localSheetId="3">#REF!</definedName>
    <definedName name="Print_Area_MI_24" localSheetId="2">#REF!</definedName>
    <definedName name="Print_Area_MI_24" localSheetId="5">#REF!</definedName>
    <definedName name="Print_Area_MI_24" localSheetId="1">#REF!</definedName>
    <definedName name="Print_Area_MI_24" localSheetId="0">#REF!</definedName>
    <definedName name="Print_Area_MI_24" localSheetId="4">#REF!</definedName>
    <definedName name="Print_Area_MI_24">#REF!</definedName>
    <definedName name="Print_Area_MI_25" localSheetId="3">#REF!</definedName>
    <definedName name="Print_Area_MI_25" localSheetId="2">#REF!</definedName>
    <definedName name="Print_Area_MI_25" localSheetId="5">#REF!</definedName>
    <definedName name="Print_Area_MI_25" localSheetId="1">#REF!</definedName>
    <definedName name="Print_Area_MI_25" localSheetId="0">#REF!</definedName>
    <definedName name="Print_Area_MI_25" localSheetId="4">#REF!</definedName>
    <definedName name="Print_Area_MI_25">#REF!</definedName>
    <definedName name="Print_Area_MI_26" localSheetId="3">#REF!</definedName>
    <definedName name="Print_Area_MI_26" localSheetId="2">#REF!</definedName>
    <definedName name="Print_Area_MI_26" localSheetId="5">#REF!</definedName>
    <definedName name="Print_Area_MI_26" localSheetId="1">#REF!</definedName>
    <definedName name="Print_Area_MI_26" localSheetId="0">#REF!</definedName>
    <definedName name="Print_Area_MI_26" localSheetId="4">#REF!</definedName>
    <definedName name="Print_Area_MI_26">#REF!</definedName>
    <definedName name="Print_Area_MI_27" localSheetId="3">#REF!</definedName>
    <definedName name="Print_Area_MI_27" localSheetId="2">#REF!</definedName>
    <definedName name="Print_Area_MI_27" localSheetId="5">#REF!</definedName>
    <definedName name="Print_Area_MI_27" localSheetId="1">#REF!</definedName>
    <definedName name="Print_Area_MI_27" localSheetId="0">#REF!</definedName>
    <definedName name="Print_Area_MI_27" localSheetId="4">#REF!</definedName>
    <definedName name="Print_Area_MI_27">#REF!</definedName>
    <definedName name="Print_Area_MI_28" localSheetId="3">#REF!</definedName>
    <definedName name="Print_Area_MI_28" localSheetId="2">#REF!</definedName>
    <definedName name="Print_Area_MI_28" localSheetId="5">#REF!</definedName>
    <definedName name="Print_Area_MI_28" localSheetId="1">#REF!</definedName>
    <definedName name="Print_Area_MI_28" localSheetId="0">#REF!</definedName>
    <definedName name="Print_Area_MI_28" localSheetId="4">#REF!</definedName>
    <definedName name="Print_Area_MI_28">#REF!</definedName>
    <definedName name="Print_Area_MI_3" localSheetId="3">#REF!</definedName>
    <definedName name="Print_Area_MI_3" localSheetId="2">#REF!</definedName>
    <definedName name="Print_Area_MI_3" localSheetId="5">#REF!</definedName>
    <definedName name="Print_Area_MI_3" localSheetId="1">#REF!</definedName>
    <definedName name="Print_Area_MI_3" localSheetId="0">#REF!</definedName>
    <definedName name="Print_Area_MI_3" localSheetId="4">#REF!</definedName>
    <definedName name="Print_Area_MI_3">#REF!</definedName>
    <definedName name="Print_Area_MI_30" localSheetId="3">#REF!</definedName>
    <definedName name="Print_Area_MI_30" localSheetId="2">#REF!</definedName>
    <definedName name="Print_Area_MI_30" localSheetId="5">#REF!</definedName>
    <definedName name="Print_Area_MI_30" localSheetId="1">#REF!</definedName>
    <definedName name="Print_Area_MI_30" localSheetId="0">#REF!</definedName>
    <definedName name="Print_Area_MI_30" localSheetId="4">#REF!</definedName>
    <definedName name="Print_Area_MI_30">#REF!</definedName>
    <definedName name="Print_Area_MI_31" localSheetId="3">#REF!</definedName>
    <definedName name="Print_Area_MI_31" localSheetId="2">#REF!</definedName>
    <definedName name="Print_Area_MI_31" localSheetId="5">#REF!</definedName>
    <definedName name="Print_Area_MI_31" localSheetId="1">#REF!</definedName>
    <definedName name="Print_Area_MI_31" localSheetId="0">#REF!</definedName>
    <definedName name="Print_Area_MI_31" localSheetId="4">#REF!</definedName>
    <definedName name="Print_Area_MI_31">#REF!</definedName>
    <definedName name="Print_Area_MI_35" localSheetId="3">#REF!</definedName>
    <definedName name="Print_Area_MI_35" localSheetId="2">#REF!</definedName>
    <definedName name="Print_Area_MI_35" localSheetId="5">#REF!</definedName>
    <definedName name="Print_Area_MI_35" localSheetId="1">#REF!</definedName>
    <definedName name="Print_Area_MI_35" localSheetId="0">#REF!</definedName>
    <definedName name="Print_Area_MI_35" localSheetId="4">#REF!</definedName>
    <definedName name="Print_Area_MI_35">#REF!</definedName>
    <definedName name="Print_Area_MI_36" localSheetId="3">#REF!</definedName>
    <definedName name="Print_Area_MI_36" localSheetId="2">#REF!</definedName>
    <definedName name="Print_Area_MI_36" localSheetId="5">#REF!</definedName>
    <definedName name="Print_Area_MI_36" localSheetId="1">#REF!</definedName>
    <definedName name="Print_Area_MI_36" localSheetId="0">#REF!</definedName>
    <definedName name="Print_Area_MI_36" localSheetId="4">#REF!</definedName>
    <definedName name="Print_Area_MI_36">#REF!</definedName>
    <definedName name="Print_Area_MI_37" localSheetId="3">#REF!</definedName>
    <definedName name="Print_Area_MI_37" localSheetId="2">#REF!</definedName>
    <definedName name="Print_Area_MI_37" localSheetId="5">#REF!</definedName>
    <definedName name="Print_Area_MI_37" localSheetId="1">#REF!</definedName>
    <definedName name="Print_Area_MI_37" localSheetId="0">#REF!</definedName>
    <definedName name="Print_Area_MI_37" localSheetId="4">#REF!</definedName>
    <definedName name="Print_Area_MI_37">#REF!</definedName>
    <definedName name="Print_Area_MI_38" localSheetId="3">#REF!</definedName>
    <definedName name="Print_Area_MI_38" localSheetId="2">#REF!</definedName>
    <definedName name="Print_Area_MI_38" localSheetId="5">#REF!</definedName>
    <definedName name="Print_Area_MI_38" localSheetId="1">#REF!</definedName>
    <definedName name="Print_Area_MI_38" localSheetId="0">#REF!</definedName>
    <definedName name="Print_Area_MI_38" localSheetId="4">#REF!</definedName>
    <definedName name="Print_Area_MI_38">#REF!</definedName>
    <definedName name="Print_Area_MI_39" localSheetId="3">#REF!</definedName>
    <definedName name="Print_Area_MI_39" localSheetId="2">#REF!</definedName>
    <definedName name="Print_Area_MI_39" localSheetId="5">#REF!</definedName>
    <definedName name="Print_Area_MI_39" localSheetId="1">#REF!</definedName>
    <definedName name="Print_Area_MI_39" localSheetId="0">#REF!</definedName>
    <definedName name="Print_Area_MI_39" localSheetId="4">#REF!</definedName>
    <definedName name="Print_Area_MI_39">#REF!</definedName>
    <definedName name="Print_Area_MI_4" localSheetId="3">#REF!</definedName>
    <definedName name="Print_Area_MI_4" localSheetId="2">#REF!</definedName>
    <definedName name="Print_Area_MI_4" localSheetId="5">#REF!</definedName>
    <definedName name="Print_Area_MI_4" localSheetId="1">#REF!</definedName>
    <definedName name="Print_Area_MI_4" localSheetId="0">#REF!</definedName>
    <definedName name="Print_Area_MI_4" localSheetId="4">#REF!</definedName>
    <definedName name="Print_Area_MI_4">#REF!</definedName>
    <definedName name="Print_Area_MI_40" localSheetId="3">#REF!</definedName>
    <definedName name="Print_Area_MI_40" localSheetId="2">#REF!</definedName>
    <definedName name="Print_Area_MI_40" localSheetId="5">#REF!</definedName>
    <definedName name="Print_Area_MI_40" localSheetId="1">#REF!</definedName>
    <definedName name="Print_Area_MI_40" localSheetId="0">#REF!</definedName>
    <definedName name="Print_Area_MI_40" localSheetId="4">#REF!</definedName>
    <definedName name="Print_Area_MI_40">#REF!</definedName>
    <definedName name="Print_Area_MI_41" localSheetId="3">#REF!</definedName>
    <definedName name="Print_Area_MI_41" localSheetId="2">#REF!</definedName>
    <definedName name="Print_Area_MI_41" localSheetId="5">#REF!</definedName>
    <definedName name="Print_Area_MI_41" localSheetId="1">#REF!</definedName>
    <definedName name="Print_Area_MI_41" localSheetId="0">#REF!</definedName>
    <definedName name="Print_Area_MI_41" localSheetId="4">#REF!</definedName>
    <definedName name="Print_Area_MI_41">#REF!</definedName>
    <definedName name="Print_Area_MI_43" localSheetId="3">#REF!</definedName>
    <definedName name="Print_Area_MI_43" localSheetId="2">#REF!</definedName>
    <definedName name="Print_Area_MI_43" localSheetId="5">#REF!</definedName>
    <definedName name="Print_Area_MI_43" localSheetId="1">#REF!</definedName>
    <definedName name="Print_Area_MI_43" localSheetId="0">#REF!</definedName>
    <definedName name="Print_Area_MI_43" localSheetId="4">#REF!</definedName>
    <definedName name="Print_Area_MI_43">#REF!</definedName>
    <definedName name="Print_Area_MI_44" localSheetId="3">#REF!</definedName>
    <definedName name="Print_Area_MI_44" localSheetId="2">#REF!</definedName>
    <definedName name="Print_Area_MI_44" localSheetId="5">#REF!</definedName>
    <definedName name="Print_Area_MI_44" localSheetId="1">#REF!</definedName>
    <definedName name="Print_Area_MI_44" localSheetId="0">#REF!</definedName>
    <definedName name="Print_Area_MI_44" localSheetId="4">#REF!</definedName>
    <definedName name="Print_Area_MI_44">#REF!</definedName>
    <definedName name="Print_Area_MI_45" localSheetId="3">#REF!</definedName>
    <definedName name="Print_Area_MI_45" localSheetId="2">#REF!</definedName>
    <definedName name="Print_Area_MI_45" localSheetId="5">#REF!</definedName>
    <definedName name="Print_Area_MI_45" localSheetId="1">#REF!</definedName>
    <definedName name="Print_Area_MI_45" localSheetId="0">#REF!</definedName>
    <definedName name="Print_Area_MI_45" localSheetId="4">#REF!</definedName>
    <definedName name="Print_Area_MI_45">#REF!</definedName>
    <definedName name="Print_Area_MI_47" localSheetId="3">#REF!</definedName>
    <definedName name="Print_Area_MI_47" localSheetId="2">#REF!</definedName>
    <definedName name="Print_Area_MI_47" localSheetId="5">#REF!</definedName>
    <definedName name="Print_Area_MI_47" localSheetId="1">#REF!</definedName>
    <definedName name="Print_Area_MI_47" localSheetId="0">#REF!</definedName>
    <definedName name="Print_Area_MI_47" localSheetId="4">#REF!</definedName>
    <definedName name="Print_Area_MI_47">#REF!</definedName>
    <definedName name="Print_Area_MI_48" localSheetId="3">#REF!</definedName>
    <definedName name="Print_Area_MI_48" localSheetId="2">#REF!</definedName>
    <definedName name="Print_Area_MI_48" localSheetId="5">#REF!</definedName>
    <definedName name="Print_Area_MI_48" localSheetId="1">#REF!</definedName>
    <definedName name="Print_Area_MI_48" localSheetId="0">#REF!</definedName>
    <definedName name="Print_Area_MI_48" localSheetId="4">#REF!</definedName>
    <definedName name="Print_Area_MI_48">#REF!</definedName>
    <definedName name="Print_Area_MI_49" localSheetId="3">#REF!</definedName>
    <definedName name="Print_Area_MI_49" localSheetId="2">#REF!</definedName>
    <definedName name="Print_Area_MI_49" localSheetId="5">#REF!</definedName>
    <definedName name="Print_Area_MI_49" localSheetId="1">#REF!</definedName>
    <definedName name="Print_Area_MI_49" localSheetId="0">#REF!</definedName>
    <definedName name="Print_Area_MI_49" localSheetId="4">#REF!</definedName>
    <definedName name="Print_Area_MI_49">#REF!</definedName>
    <definedName name="Print_Area_MI_5" localSheetId="3">#REF!</definedName>
    <definedName name="Print_Area_MI_5" localSheetId="2">#REF!</definedName>
    <definedName name="Print_Area_MI_5" localSheetId="5">#REF!</definedName>
    <definedName name="Print_Area_MI_5" localSheetId="1">#REF!</definedName>
    <definedName name="Print_Area_MI_5" localSheetId="0">#REF!</definedName>
    <definedName name="Print_Area_MI_5" localSheetId="4">#REF!</definedName>
    <definedName name="Print_Area_MI_5">#REF!</definedName>
    <definedName name="Print_Area_MI_54" localSheetId="3">#REF!</definedName>
    <definedName name="Print_Area_MI_54" localSheetId="2">#REF!</definedName>
    <definedName name="Print_Area_MI_54" localSheetId="5">#REF!</definedName>
    <definedName name="Print_Area_MI_54" localSheetId="1">#REF!</definedName>
    <definedName name="Print_Area_MI_54" localSheetId="0">#REF!</definedName>
    <definedName name="Print_Area_MI_54" localSheetId="4">#REF!</definedName>
    <definedName name="Print_Area_MI_54">#REF!</definedName>
    <definedName name="Print_Area_MI_56" localSheetId="3">#REF!</definedName>
    <definedName name="Print_Area_MI_56" localSheetId="2">#REF!</definedName>
    <definedName name="Print_Area_MI_56" localSheetId="5">#REF!</definedName>
    <definedName name="Print_Area_MI_56" localSheetId="1">#REF!</definedName>
    <definedName name="Print_Area_MI_56" localSheetId="0">#REF!</definedName>
    <definedName name="Print_Area_MI_56" localSheetId="4">#REF!</definedName>
    <definedName name="Print_Area_MI_56">#REF!</definedName>
    <definedName name="Print_Area_MI_57" localSheetId="3">#REF!</definedName>
    <definedName name="Print_Area_MI_57" localSheetId="2">#REF!</definedName>
    <definedName name="Print_Area_MI_57" localSheetId="5">#REF!</definedName>
    <definedName name="Print_Area_MI_57" localSheetId="1">#REF!</definedName>
    <definedName name="Print_Area_MI_57" localSheetId="0">#REF!</definedName>
    <definedName name="Print_Area_MI_57" localSheetId="4">#REF!</definedName>
    <definedName name="Print_Area_MI_57">#REF!</definedName>
    <definedName name="Print_Area_MI_58" localSheetId="3">#REF!</definedName>
    <definedName name="Print_Area_MI_58" localSheetId="2">#REF!</definedName>
    <definedName name="Print_Area_MI_58" localSheetId="5">#REF!</definedName>
    <definedName name="Print_Area_MI_58" localSheetId="1">#REF!</definedName>
    <definedName name="Print_Area_MI_58" localSheetId="0">#REF!</definedName>
    <definedName name="Print_Area_MI_58" localSheetId="4">#REF!</definedName>
    <definedName name="Print_Area_MI_58">#REF!</definedName>
    <definedName name="Print_Area_MI_59" localSheetId="3">#REF!</definedName>
    <definedName name="Print_Area_MI_59" localSheetId="2">#REF!</definedName>
    <definedName name="Print_Area_MI_59" localSheetId="5">#REF!</definedName>
    <definedName name="Print_Area_MI_59" localSheetId="1">#REF!</definedName>
    <definedName name="Print_Area_MI_59" localSheetId="0">#REF!</definedName>
    <definedName name="Print_Area_MI_59" localSheetId="4">#REF!</definedName>
    <definedName name="Print_Area_MI_59">#REF!</definedName>
    <definedName name="Print_Area_MI_6" localSheetId="3">#REF!</definedName>
    <definedName name="Print_Area_MI_6" localSheetId="2">#REF!</definedName>
    <definedName name="Print_Area_MI_6" localSheetId="5">#REF!</definedName>
    <definedName name="Print_Area_MI_6" localSheetId="1">#REF!</definedName>
    <definedName name="Print_Area_MI_6" localSheetId="0">#REF!</definedName>
    <definedName name="Print_Area_MI_6" localSheetId="4">#REF!</definedName>
    <definedName name="Print_Area_MI_6">#REF!</definedName>
    <definedName name="Print_Area_MI_61" localSheetId="3">#REF!</definedName>
    <definedName name="Print_Area_MI_61" localSheetId="2">#REF!</definedName>
    <definedName name="Print_Area_MI_61" localSheetId="5">#REF!</definedName>
    <definedName name="Print_Area_MI_61" localSheetId="1">#REF!</definedName>
    <definedName name="Print_Area_MI_61" localSheetId="0">#REF!</definedName>
    <definedName name="Print_Area_MI_61" localSheetId="4">#REF!</definedName>
    <definedName name="Print_Area_MI_61">#REF!</definedName>
    <definedName name="Print_Area_MI_62" localSheetId="3">#REF!</definedName>
    <definedName name="Print_Area_MI_62" localSheetId="2">#REF!</definedName>
    <definedName name="Print_Area_MI_62" localSheetId="5">#REF!</definedName>
    <definedName name="Print_Area_MI_62" localSheetId="1">#REF!</definedName>
    <definedName name="Print_Area_MI_62" localSheetId="0">#REF!</definedName>
    <definedName name="Print_Area_MI_62" localSheetId="4">#REF!</definedName>
    <definedName name="Print_Area_MI_62">#REF!</definedName>
    <definedName name="Print_Area_MI_63" localSheetId="3">#REF!</definedName>
    <definedName name="Print_Area_MI_63" localSheetId="2">#REF!</definedName>
    <definedName name="Print_Area_MI_63" localSheetId="5">#REF!</definedName>
    <definedName name="Print_Area_MI_63" localSheetId="1">#REF!</definedName>
    <definedName name="Print_Area_MI_63" localSheetId="0">#REF!</definedName>
    <definedName name="Print_Area_MI_63" localSheetId="4">#REF!</definedName>
    <definedName name="Print_Area_MI_63">#REF!</definedName>
    <definedName name="Print_Area_MI_64" localSheetId="3">#REF!</definedName>
    <definedName name="Print_Area_MI_64" localSheetId="2">#REF!</definedName>
    <definedName name="Print_Area_MI_64" localSheetId="5">#REF!</definedName>
    <definedName name="Print_Area_MI_64" localSheetId="1">#REF!</definedName>
    <definedName name="Print_Area_MI_64" localSheetId="0">#REF!</definedName>
    <definedName name="Print_Area_MI_64" localSheetId="4">#REF!</definedName>
    <definedName name="Print_Area_MI_64">#REF!</definedName>
    <definedName name="Print_Area_MI_66" localSheetId="3">#REF!</definedName>
    <definedName name="Print_Area_MI_66" localSheetId="2">#REF!</definedName>
    <definedName name="Print_Area_MI_66" localSheetId="5">#REF!</definedName>
    <definedName name="Print_Area_MI_66" localSheetId="1">#REF!</definedName>
    <definedName name="Print_Area_MI_66" localSheetId="0">#REF!</definedName>
    <definedName name="Print_Area_MI_66" localSheetId="4">#REF!</definedName>
    <definedName name="Print_Area_MI_66">#REF!</definedName>
    <definedName name="Print_Area_MI_68" localSheetId="3">#REF!</definedName>
    <definedName name="Print_Area_MI_68" localSheetId="2">#REF!</definedName>
    <definedName name="Print_Area_MI_68" localSheetId="5">#REF!</definedName>
    <definedName name="Print_Area_MI_68" localSheetId="1">#REF!</definedName>
    <definedName name="Print_Area_MI_68" localSheetId="0">#REF!</definedName>
    <definedName name="Print_Area_MI_68" localSheetId="4">#REF!</definedName>
    <definedName name="Print_Area_MI_68">#REF!</definedName>
    <definedName name="Print_Area_MI_69" localSheetId="3">#REF!</definedName>
    <definedName name="Print_Area_MI_69" localSheetId="2">#REF!</definedName>
    <definedName name="Print_Area_MI_69" localSheetId="5">#REF!</definedName>
    <definedName name="Print_Area_MI_69" localSheetId="1">#REF!</definedName>
    <definedName name="Print_Area_MI_69" localSheetId="0">#REF!</definedName>
    <definedName name="Print_Area_MI_69" localSheetId="4">#REF!</definedName>
    <definedName name="Print_Area_MI_69">#REF!</definedName>
    <definedName name="Print_Area_MI_7" localSheetId="3">#REF!</definedName>
    <definedName name="Print_Area_MI_7" localSheetId="2">#REF!</definedName>
    <definedName name="Print_Area_MI_7" localSheetId="5">#REF!</definedName>
    <definedName name="Print_Area_MI_7" localSheetId="1">#REF!</definedName>
    <definedName name="Print_Area_MI_7" localSheetId="0">#REF!</definedName>
    <definedName name="Print_Area_MI_7" localSheetId="4">#REF!</definedName>
    <definedName name="Print_Area_MI_7">#REF!</definedName>
    <definedName name="Print_Area_MI_75" localSheetId="3">#REF!</definedName>
    <definedName name="Print_Area_MI_75" localSheetId="2">#REF!</definedName>
    <definedName name="Print_Area_MI_75" localSheetId="5">#REF!</definedName>
    <definedName name="Print_Area_MI_75" localSheetId="1">#REF!</definedName>
    <definedName name="Print_Area_MI_75" localSheetId="0">#REF!</definedName>
    <definedName name="Print_Area_MI_75" localSheetId="4">#REF!</definedName>
    <definedName name="Print_Area_MI_75">#REF!</definedName>
    <definedName name="Print_Area_MI_76" localSheetId="3">#REF!</definedName>
    <definedName name="Print_Area_MI_76" localSheetId="2">#REF!</definedName>
    <definedName name="Print_Area_MI_76" localSheetId="5">#REF!</definedName>
    <definedName name="Print_Area_MI_76" localSheetId="1">#REF!</definedName>
    <definedName name="Print_Area_MI_76" localSheetId="0">#REF!</definedName>
    <definedName name="Print_Area_MI_76" localSheetId="4">#REF!</definedName>
    <definedName name="Print_Area_MI_76">#REF!</definedName>
    <definedName name="Print_Area_MI_77" localSheetId="3">#REF!</definedName>
    <definedName name="Print_Area_MI_77" localSheetId="2">#REF!</definedName>
    <definedName name="Print_Area_MI_77" localSheetId="5">#REF!</definedName>
    <definedName name="Print_Area_MI_77" localSheetId="1">#REF!</definedName>
    <definedName name="Print_Area_MI_77" localSheetId="0">#REF!</definedName>
    <definedName name="Print_Area_MI_77" localSheetId="4">#REF!</definedName>
    <definedName name="Print_Area_MI_77">#REF!</definedName>
    <definedName name="Print_Area_MI_8" localSheetId="3">#REF!</definedName>
    <definedName name="Print_Area_MI_8" localSheetId="2">#REF!</definedName>
    <definedName name="Print_Area_MI_8" localSheetId="5">#REF!</definedName>
    <definedName name="Print_Area_MI_8" localSheetId="1">#REF!</definedName>
    <definedName name="Print_Area_MI_8" localSheetId="0">#REF!</definedName>
    <definedName name="Print_Area_MI_8" localSheetId="4">#REF!</definedName>
    <definedName name="Print_Area_MI_8">#REF!</definedName>
    <definedName name="Print_Area_MI_86" localSheetId="3">#REF!</definedName>
    <definedName name="Print_Area_MI_86" localSheetId="2">#REF!</definedName>
    <definedName name="Print_Area_MI_86" localSheetId="5">#REF!</definedName>
    <definedName name="Print_Area_MI_86" localSheetId="1">#REF!</definedName>
    <definedName name="Print_Area_MI_86" localSheetId="0">#REF!</definedName>
    <definedName name="Print_Area_MI_86" localSheetId="4">#REF!</definedName>
    <definedName name="Print_Area_MI_86">#REF!</definedName>
    <definedName name="Print_Area_MI_87" localSheetId="3">#REF!</definedName>
    <definedName name="Print_Area_MI_87" localSheetId="2">#REF!</definedName>
    <definedName name="Print_Area_MI_87" localSheetId="5">#REF!</definedName>
    <definedName name="Print_Area_MI_87" localSheetId="1">#REF!</definedName>
    <definedName name="Print_Area_MI_87" localSheetId="0">#REF!</definedName>
    <definedName name="Print_Area_MI_87" localSheetId="4">#REF!</definedName>
    <definedName name="Print_Area_MI_87">#REF!</definedName>
    <definedName name="Print_Area_MI_89" localSheetId="3">#REF!</definedName>
    <definedName name="Print_Area_MI_89" localSheetId="2">#REF!</definedName>
    <definedName name="Print_Area_MI_89" localSheetId="5">#REF!</definedName>
    <definedName name="Print_Area_MI_89" localSheetId="1">#REF!</definedName>
    <definedName name="Print_Area_MI_89" localSheetId="0">#REF!</definedName>
    <definedName name="Print_Area_MI_89" localSheetId="4">#REF!</definedName>
    <definedName name="Print_Area_MI_89">#REF!</definedName>
    <definedName name="Print_Area_MI_9" localSheetId="3">#REF!</definedName>
    <definedName name="Print_Area_MI_9" localSheetId="2">#REF!</definedName>
    <definedName name="Print_Area_MI_9" localSheetId="5">#REF!</definedName>
    <definedName name="Print_Area_MI_9" localSheetId="1">#REF!</definedName>
    <definedName name="Print_Area_MI_9" localSheetId="0">#REF!</definedName>
    <definedName name="Print_Area_MI_9" localSheetId="4">#REF!</definedName>
    <definedName name="Print_Area_MI_9">#REF!</definedName>
    <definedName name="Print_Area_MI_90" localSheetId="3">#REF!</definedName>
    <definedName name="Print_Area_MI_90" localSheetId="2">#REF!</definedName>
    <definedName name="Print_Area_MI_90" localSheetId="5">#REF!</definedName>
    <definedName name="Print_Area_MI_90" localSheetId="1">#REF!</definedName>
    <definedName name="Print_Area_MI_90" localSheetId="0">#REF!</definedName>
    <definedName name="Print_Area_MI_90" localSheetId="4">#REF!</definedName>
    <definedName name="Print_Area_MI_90">#REF!</definedName>
    <definedName name="Print_Area_MI_94" localSheetId="3">#REF!</definedName>
    <definedName name="Print_Area_MI_94" localSheetId="2">#REF!</definedName>
    <definedName name="Print_Area_MI_94" localSheetId="5">#REF!</definedName>
    <definedName name="Print_Area_MI_94" localSheetId="1">#REF!</definedName>
    <definedName name="Print_Area_MI_94" localSheetId="0">#REF!</definedName>
    <definedName name="Print_Area_MI_94" localSheetId="4">#REF!</definedName>
    <definedName name="Print_Area_MI_94">#REF!</definedName>
    <definedName name="Print_Area_MI_95" localSheetId="3">#REF!</definedName>
    <definedName name="Print_Area_MI_95" localSheetId="2">#REF!</definedName>
    <definedName name="Print_Area_MI_95" localSheetId="5">#REF!</definedName>
    <definedName name="Print_Area_MI_95" localSheetId="1">#REF!</definedName>
    <definedName name="Print_Area_MI_95" localSheetId="0">#REF!</definedName>
    <definedName name="Print_Area_MI_95" localSheetId="4">#REF!</definedName>
    <definedName name="Print_Area_MI_95">#REF!</definedName>
    <definedName name="Print_Area_MI_96" localSheetId="3">#REF!</definedName>
    <definedName name="Print_Area_MI_96" localSheetId="2">#REF!</definedName>
    <definedName name="Print_Area_MI_96" localSheetId="5">#REF!</definedName>
    <definedName name="Print_Area_MI_96" localSheetId="1">#REF!</definedName>
    <definedName name="Print_Area_MI_96" localSheetId="0">#REF!</definedName>
    <definedName name="Print_Area_MI_96" localSheetId="4">#REF!</definedName>
    <definedName name="Print_Area_MI_96">#REF!</definedName>
    <definedName name="Print_Area_MI_97" localSheetId="3">#REF!</definedName>
    <definedName name="Print_Area_MI_97" localSheetId="2">#REF!</definedName>
    <definedName name="Print_Area_MI_97" localSheetId="5">#REF!</definedName>
    <definedName name="Print_Area_MI_97" localSheetId="1">#REF!</definedName>
    <definedName name="Print_Area_MI_97" localSheetId="0">#REF!</definedName>
    <definedName name="Print_Area_MI_97" localSheetId="4">#REF!</definedName>
    <definedName name="Print_Area_MI_97">#REF!</definedName>
    <definedName name="_xlnm.Print_Titles" localSheetId="3">'1-SPA-1'!$1:$8</definedName>
    <definedName name="_xlnm.Print_Titles" localSheetId="2">'1-SPA2'!$1:$8</definedName>
    <definedName name="_xlnm.Print_Titles" localSheetId="5">'1-SPA-3'!$1:$8</definedName>
    <definedName name="_xlnm.Print_Titles" localSheetId="1">'DB-1-N2'!$1:$8</definedName>
    <definedName name="_xlnm.Print_Titles" localSheetId="4">'SP-LL'!$1:$8</definedName>
    <definedName name="t" localSheetId="3">#REF!</definedName>
    <definedName name="t" localSheetId="2">#REF!</definedName>
    <definedName name="t" localSheetId="5">#REF!</definedName>
    <definedName name="t" localSheetId="1">#REF!</definedName>
    <definedName name="t" localSheetId="0">#REF!</definedName>
    <definedName name="t" localSheetId="4">#REF!</definedName>
    <definedName name="t">#REF!</definedName>
    <definedName name="W" localSheetId="3">#REF!</definedName>
    <definedName name="W" localSheetId="2">#REF!</definedName>
    <definedName name="W" localSheetId="5">#REF!</definedName>
    <definedName name="W" localSheetId="1">#REF!</definedName>
    <definedName name="W" localSheetId="0">#REF!</definedName>
    <definedName name="W" localSheetId="4">#REF!</definedName>
    <definedName name="W">#REF!</definedName>
    <definedName name="W_111" localSheetId="3">#REF!</definedName>
    <definedName name="W_111" localSheetId="2">#REF!</definedName>
    <definedName name="W_111" localSheetId="5">#REF!</definedName>
    <definedName name="W_111" localSheetId="1">#REF!</definedName>
    <definedName name="W_111" localSheetId="0">#REF!</definedName>
    <definedName name="W_111" localSheetId="4">#REF!</definedName>
    <definedName name="W_111">#REF!</definedName>
    <definedName name="W_14" localSheetId="3">#REF!</definedName>
    <definedName name="W_14" localSheetId="2">#REF!</definedName>
    <definedName name="W_14" localSheetId="5">#REF!</definedName>
    <definedName name="W_14" localSheetId="1">#REF!</definedName>
    <definedName name="W_14" localSheetId="0">#REF!</definedName>
    <definedName name="W_14" localSheetId="4">#REF!</definedName>
    <definedName name="W_14">#REF!</definedName>
    <definedName name="W_15" localSheetId="3">#REF!</definedName>
    <definedName name="W_15" localSheetId="2">#REF!</definedName>
    <definedName name="W_15" localSheetId="5">#REF!</definedName>
    <definedName name="W_15" localSheetId="1">#REF!</definedName>
    <definedName name="W_15" localSheetId="0">#REF!</definedName>
    <definedName name="W_15" localSheetId="4">#REF!</definedName>
    <definedName name="W_15">#REF!</definedName>
    <definedName name="W_24" localSheetId="3">#REF!</definedName>
    <definedName name="W_24" localSheetId="2">#REF!</definedName>
    <definedName name="W_24" localSheetId="5">#REF!</definedName>
    <definedName name="W_24" localSheetId="1">#REF!</definedName>
    <definedName name="W_24" localSheetId="0">#REF!</definedName>
    <definedName name="W_24" localSheetId="4">#REF!</definedName>
    <definedName name="W_24">#REF!</definedName>
    <definedName name="W_26" localSheetId="3">#REF!</definedName>
    <definedName name="W_26" localSheetId="2">#REF!</definedName>
    <definedName name="W_26" localSheetId="5">#REF!</definedName>
    <definedName name="W_26" localSheetId="1">#REF!</definedName>
    <definedName name="W_26" localSheetId="0">#REF!</definedName>
    <definedName name="W_26" localSheetId="4">#REF!</definedName>
    <definedName name="W_26">#REF!</definedName>
    <definedName name="W_35" localSheetId="3">#REF!</definedName>
    <definedName name="W_35" localSheetId="2">#REF!</definedName>
    <definedName name="W_35" localSheetId="5">#REF!</definedName>
    <definedName name="W_35" localSheetId="1">#REF!</definedName>
    <definedName name="W_35" localSheetId="0">#REF!</definedName>
    <definedName name="W_35" localSheetId="4">#REF!</definedName>
    <definedName name="W_35">#REF!</definedName>
    <definedName name="W_45" localSheetId="3">#REF!</definedName>
    <definedName name="W_45" localSheetId="2">#REF!</definedName>
    <definedName name="W_45" localSheetId="5">#REF!</definedName>
    <definedName name="W_45" localSheetId="1">#REF!</definedName>
    <definedName name="W_45" localSheetId="0">#REF!</definedName>
    <definedName name="W_45" localSheetId="4">#REF!</definedName>
    <definedName name="W_45">#REF!</definedName>
    <definedName name="W_56" localSheetId="3">#REF!</definedName>
    <definedName name="W_56" localSheetId="2">#REF!</definedName>
    <definedName name="W_56" localSheetId="5">#REF!</definedName>
    <definedName name="W_56" localSheetId="1">#REF!</definedName>
    <definedName name="W_56" localSheetId="0">#REF!</definedName>
    <definedName name="W_56" localSheetId="4">#REF!</definedName>
    <definedName name="W_56">#REF!</definedName>
    <definedName name="W_61" localSheetId="3">#REF!</definedName>
    <definedName name="W_61" localSheetId="2">#REF!</definedName>
    <definedName name="W_61" localSheetId="5">#REF!</definedName>
    <definedName name="W_61" localSheetId="1">#REF!</definedName>
    <definedName name="W_61" localSheetId="0">#REF!</definedName>
    <definedName name="W_61" localSheetId="4">#REF!</definedName>
    <definedName name="W_61">#REF!</definedName>
    <definedName name="W_66" localSheetId="3">#REF!</definedName>
    <definedName name="W_66" localSheetId="2">#REF!</definedName>
    <definedName name="W_66" localSheetId="5">#REF!</definedName>
    <definedName name="W_66" localSheetId="1">#REF!</definedName>
    <definedName name="W_66" localSheetId="0">#REF!</definedName>
    <definedName name="W_66" localSheetId="4">#REF!</definedName>
    <definedName name="W_66">#REF!</definedName>
    <definedName name="W_7" localSheetId="3">#REF!</definedName>
    <definedName name="W_7" localSheetId="2">#REF!</definedName>
    <definedName name="W_7" localSheetId="5">#REF!</definedName>
    <definedName name="W_7" localSheetId="1">#REF!</definedName>
    <definedName name="W_7" localSheetId="0">#REF!</definedName>
    <definedName name="W_7" localSheetId="4">#REF!</definedName>
    <definedName name="W_7">#REF!</definedName>
    <definedName name="W_76" localSheetId="3">#REF!</definedName>
    <definedName name="W_76" localSheetId="2">#REF!</definedName>
    <definedName name="W_76" localSheetId="5">#REF!</definedName>
    <definedName name="W_76" localSheetId="1">#REF!</definedName>
    <definedName name="W_76" localSheetId="0">#REF!</definedName>
    <definedName name="W_76" localSheetId="4">#REF!</definedName>
    <definedName name="W_76">#REF!</definedName>
    <definedName name="W_77" localSheetId="3">#REF!</definedName>
    <definedName name="W_77" localSheetId="2">#REF!</definedName>
    <definedName name="W_77" localSheetId="5">#REF!</definedName>
    <definedName name="W_77" localSheetId="1">#REF!</definedName>
    <definedName name="W_77" localSheetId="0">#REF!</definedName>
    <definedName name="W_77" localSheetId="4">#REF!</definedName>
    <definedName name="W_77">#REF!</definedName>
    <definedName name="W_8" localSheetId="3">#REF!</definedName>
    <definedName name="W_8" localSheetId="2">#REF!</definedName>
    <definedName name="W_8" localSheetId="5">#REF!</definedName>
    <definedName name="W_8" localSheetId="1">#REF!</definedName>
    <definedName name="W_8" localSheetId="0">#REF!</definedName>
    <definedName name="W_8" localSheetId="4">#REF!</definedName>
    <definedName name="W_8">#REF!</definedName>
    <definedName name="W_87" localSheetId="3">#REF!</definedName>
    <definedName name="W_87" localSheetId="2">#REF!</definedName>
    <definedName name="W_87" localSheetId="5">#REF!</definedName>
    <definedName name="W_87" localSheetId="1">#REF!</definedName>
    <definedName name="W_87" localSheetId="0">#REF!</definedName>
    <definedName name="W_87" localSheetId="4">#REF!</definedName>
    <definedName name="W_87">#REF!</definedName>
    <definedName name="W_97" localSheetId="3">#REF!</definedName>
    <definedName name="W_97" localSheetId="2">#REF!</definedName>
    <definedName name="W_97" localSheetId="5">#REF!</definedName>
    <definedName name="W_97" localSheetId="1">#REF!</definedName>
    <definedName name="W_97" localSheetId="0">#REF!</definedName>
    <definedName name="W_97" localSheetId="4">#REF!</definedName>
    <definedName name="W_97">#REF!</definedName>
  </definedNames>
  <calcPr calcId="162913"/>
</workbook>
</file>

<file path=xl/calcChain.xml><?xml version="1.0" encoding="utf-8"?>
<calcChain xmlns="http://schemas.openxmlformats.org/spreadsheetml/2006/main">
  <c r="O14" i="18" l="1"/>
  <c r="AF15" i="18"/>
  <c r="S26" i="18" l="1"/>
  <c r="S19" i="18"/>
  <c r="S31" i="18"/>
  <c r="S10" i="18"/>
  <c r="X25" i="22"/>
  <c r="W18" i="23"/>
  <c r="W12" i="23" l="1"/>
  <c r="N11" i="18" l="1"/>
  <c r="S11" i="18"/>
  <c r="R11" i="18"/>
  <c r="Y14" i="23" l="1"/>
  <c r="Y23" i="23" l="1"/>
  <c r="X22" i="23"/>
  <c r="W21" i="23"/>
  <c r="Y20" i="23"/>
  <c r="X19" i="23"/>
  <c r="Y17" i="23"/>
  <c r="X16" i="23"/>
  <c r="W15" i="23"/>
  <c r="W30" i="22"/>
  <c r="Y29" i="22"/>
  <c r="X28" i="22"/>
  <c r="W27" i="22"/>
  <c r="Y26" i="22"/>
  <c r="W24" i="22"/>
  <c r="Y23" i="22"/>
  <c r="X22" i="22"/>
  <c r="W21" i="22"/>
  <c r="Y20" i="22"/>
  <c r="X19" i="22"/>
  <c r="W18" i="22"/>
  <c r="Y17" i="22"/>
  <c r="X16" i="22"/>
  <c r="W15" i="22"/>
  <c r="W24" i="23"/>
  <c r="X44" i="21"/>
  <c r="W43" i="21"/>
  <c r="V42" i="21"/>
  <c r="X41" i="21"/>
  <c r="W40" i="21"/>
  <c r="V39" i="21"/>
  <c r="X38" i="21"/>
  <c r="W37" i="21"/>
  <c r="V36" i="21"/>
  <c r="X29" i="21"/>
  <c r="W28" i="21"/>
  <c r="V27" i="21"/>
  <c r="X26" i="21"/>
  <c r="W25" i="21"/>
  <c r="V24" i="21"/>
  <c r="X23" i="21"/>
  <c r="W22" i="21"/>
  <c r="V21" i="21"/>
  <c r="X20" i="21"/>
  <c r="W19" i="21"/>
  <c r="V18" i="21"/>
  <c r="X17" i="21"/>
  <c r="W16" i="21"/>
  <c r="V15" i="21"/>
  <c r="X14" i="21"/>
  <c r="W13" i="21"/>
  <c r="V12" i="21"/>
  <c r="AC38" i="20"/>
  <c r="AB37" i="20"/>
  <c r="AA36" i="20"/>
  <c r="AC35" i="20"/>
  <c r="AB34" i="20"/>
  <c r="AA33" i="20"/>
  <c r="O17" i="18" l="1"/>
  <c r="O9" i="18"/>
  <c r="M15" i="19" l="1"/>
  <c r="M30" i="19"/>
  <c r="M31" i="19"/>
  <c r="M32" i="19"/>
  <c r="M33" i="19"/>
  <c r="M34" i="19"/>
  <c r="M35" i="19"/>
  <c r="M36" i="19"/>
  <c r="M38" i="19"/>
  <c r="M39" i="19"/>
  <c r="M40" i="19"/>
  <c r="M42" i="19"/>
  <c r="M16" i="19"/>
  <c r="M17" i="19"/>
  <c r="M18" i="19"/>
  <c r="M19" i="19"/>
  <c r="M20" i="19"/>
  <c r="M21" i="19"/>
  <c r="M22" i="19"/>
  <c r="M23" i="19"/>
  <c r="M24" i="19"/>
  <c r="M25" i="19"/>
  <c r="M26" i="19"/>
  <c r="M27" i="19"/>
  <c r="M28" i="19"/>
  <c r="M29" i="19"/>
  <c r="M14" i="19"/>
  <c r="M11" i="19"/>
  <c r="AG16" i="18" l="1"/>
  <c r="O18" i="18"/>
  <c r="O13" i="18"/>
  <c r="O12" i="18"/>
  <c r="N31" i="18"/>
  <c r="R31" i="18"/>
  <c r="N32" i="18"/>
  <c r="S32" i="18"/>
  <c r="R32" i="18"/>
  <c r="N33" i="18"/>
  <c r="N34" i="18"/>
  <c r="N27" i="18"/>
  <c r="AH38" i="18"/>
  <c r="N26" i="18" l="1"/>
  <c r="R26" i="18"/>
  <c r="N25" i="18"/>
  <c r="R20" i="18"/>
  <c r="N20" i="18"/>
  <c r="N19" i="18"/>
  <c r="N18" i="18"/>
  <c r="AF18" i="18" s="1"/>
  <c r="N17" i="18"/>
  <c r="N13" i="18"/>
  <c r="N12" i="18"/>
  <c r="Z11" i="18"/>
  <c r="X14" i="18"/>
  <c r="N10" i="18" l="1"/>
  <c r="AG10" i="18" s="1"/>
  <c r="AF9" i="18"/>
  <c r="Y11" i="23" l="1"/>
  <c r="X13" i="23" l="1"/>
  <c r="X10" i="23" l="1"/>
  <c r="W9" i="23"/>
  <c r="W33" i="23" s="1"/>
  <c r="W30" i="23"/>
  <c r="W27" i="23"/>
  <c r="Y26" i="23"/>
  <c r="Y33" i="23" s="1"/>
  <c r="X11" i="21" s="1"/>
  <c r="X25" i="23"/>
  <c r="X13" i="22"/>
  <c r="W12" i="22"/>
  <c r="W34" i="21"/>
  <c r="V30" i="21"/>
  <c r="X35" i="21"/>
  <c r="AC44" i="20"/>
  <c r="AB43" i="20"/>
  <c r="AA42" i="20"/>
  <c r="AC41" i="20"/>
  <c r="AB40" i="20"/>
  <c r="AA39" i="20"/>
  <c r="AA30" i="20"/>
  <c r="AC29" i="20"/>
  <c r="AB28" i="20"/>
  <c r="AA27" i="20"/>
  <c r="AA21" i="20"/>
  <c r="AB19" i="20"/>
  <c r="AA12" i="20"/>
  <c r="AC11" i="20"/>
  <c r="AC45" i="20" s="1"/>
  <c r="L13" i="19" s="1"/>
  <c r="AB10" i="20"/>
  <c r="AB45" i="20" s="1"/>
  <c r="K13" i="19" s="1"/>
  <c r="AA9" i="20"/>
  <c r="AA45" i="20" s="1"/>
  <c r="J13" i="19" s="1"/>
  <c r="AG37" i="18"/>
  <c r="AF36" i="18"/>
  <c r="AH35" i="18"/>
  <c r="AG34" i="18"/>
  <c r="AF33" i="18"/>
  <c r="AH32" i="18"/>
  <c r="AG31" i="18"/>
  <c r="AF30" i="18"/>
  <c r="AH29" i="18"/>
  <c r="AG28" i="18"/>
  <c r="AF27" i="18"/>
  <c r="AH26" i="18"/>
  <c r="AG25" i="18"/>
  <c r="AF24" i="18"/>
  <c r="AH23" i="18"/>
  <c r="AG22" i="18"/>
  <c r="AF21" i="18"/>
  <c r="AH20" i="18"/>
  <c r="AG19" i="18"/>
  <c r="AH17" i="18"/>
  <c r="AH14" i="18"/>
  <c r="AG13" i="18"/>
  <c r="AF12" i="18"/>
  <c r="AH11" i="18"/>
  <c r="W34" i="23" l="1"/>
  <c r="V9" i="21"/>
  <c r="V45" i="21" s="1"/>
  <c r="X33" i="23"/>
  <c r="Z33" i="23" s="1"/>
  <c r="Y34" i="23"/>
  <c r="X45" i="21"/>
  <c r="AC46" i="20"/>
  <c r="AB46" i="20"/>
  <c r="X46" i="21" l="1"/>
  <c r="L41" i="19"/>
  <c r="V46" i="21"/>
  <c r="J41" i="19"/>
  <c r="X34" i="23"/>
  <c r="Z34" i="23" s="1"/>
  <c r="W36" i="23" s="1"/>
  <c r="W10" i="21"/>
  <c r="W45" i="21" s="1"/>
  <c r="AD45" i="20"/>
  <c r="AA46" i="20"/>
  <c r="AD46" i="20" s="1"/>
  <c r="AA48" i="20" s="1"/>
  <c r="W46" i="21" l="1"/>
  <c r="Y46" i="21" s="1"/>
  <c r="V48" i="21" s="1"/>
  <c r="K41" i="19"/>
  <c r="M41" i="19" s="1"/>
  <c r="Y45" i="21"/>
  <c r="AH39" i="18"/>
  <c r="AG39" i="18"/>
  <c r="AF39" i="18"/>
  <c r="Y11" i="22" l="1"/>
  <c r="Y33" i="22" s="1"/>
  <c r="AH40" i="18"/>
  <c r="X10" i="22"/>
  <c r="X33" i="22" s="1"/>
  <c r="AG40" i="18"/>
  <c r="AF40" i="18"/>
  <c r="W9" i="22"/>
  <c r="W33" i="22" s="1"/>
  <c r="J37" i="19" s="1"/>
  <c r="J44" i="19" s="1"/>
  <c r="AI39" i="18"/>
  <c r="X34" i="22" l="1"/>
  <c r="K37" i="19"/>
  <c r="Y34" i="22"/>
  <c r="L37" i="19"/>
  <c r="M13" i="19"/>
  <c r="AI40" i="18"/>
  <c r="AF42" i="18" s="1"/>
  <c r="W34" i="22"/>
  <c r="Z33" i="22"/>
  <c r="M37" i="19" l="1"/>
  <c r="Z34" i="22"/>
  <c r="W36" i="22" s="1"/>
  <c r="L44" i="19"/>
  <c r="K44" i="19"/>
  <c r="M44" i="19" l="1"/>
  <c r="J46" i="19" s="1"/>
  <c r="G46" i="19" s="1"/>
  <c r="R44" i="19" l="1"/>
</calcChain>
</file>

<file path=xl/sharedStrings.xml><?xml version="1.0" encoding="utf-8"?>
<sst xmlns="http://schemas.openxmlformats.org/spreadsheetml/2006/main" count="761" uniqueCount="304">
  <si>
    <t xml:space="preserve">Rating of Incomer </t>
  </si>
  <si>
    <t>Ratg of ELCB</t>
  </si>
  <si>
    <t>SL. NO.</t>
  </si>
  <si>
    <t>CIR. No.</t>
  </si>
  <si>
    <t>MCB Rtg in (A)</t>
  </si>
  <si>
    <t>CCT wire size mmsq</t>
  </si>
  <si>
    <t>RCC wire size mmsq</t>
  </si>
  <si>
    <t>Room / Area</t>
  </si>
  <si>
    <t xml:space="preserve">Connected Load / Points </t>
  </si>
  <si>
    <t>Load Per Phase - Watts</t>
  </si>
  <si>
    <t>Remarks</t>
  </si>
  <si>
    <t xml:space="preserve">LTG </t>
  </si>
  <si>
    <t>13A SSO</t>
  </si>
  <si>
    <t>FCU</t>
  </si>
  <si>
    <t>R</t>
  </si>
  <si>
    <t>Y</t>
  </si>
  <si>
    <t>B</t>
  </si>
  <si>
    <t>R1</t>
  </si>
  <si>
    <t>Y1</t>
  </si>
  <si>
    <t>B1</t>
  </si>
  <si>
    <t>R2</t>
  </si>
  <si>
    <t>Y2</t>
  </si>
  <si>
    <t>B2</t>
  </si>
  <si>
    <t>R4</t>
  </si>
  <si>
    <t>Y4</t>
  </si>
  <si>
    <t>B4</t>
  </si>
  <si>
    <t>R5</t>
  </si>
  <si>
    <t>Y5</t>
  </si>
  <si>
    <t>B5</t>
  </si>
  <si>
    <t>R6</t>
  </si>
  <si>
    <t>Y6</t>
  </si>
  <si>
    <t>B6</t>
  </si>
  <si>
    <t xml:space="preserve">Project : </t>
  </si>
  <si>
    <t>R3</t>
  </si>
  <si>
    <t>Y3</t>
  </si>
  <si>
    <t>B3</t>
  </si>
  <si>
    <t>R7</t>
  </si>
  <si>
    <t>Y7</t>
  </si>
  <si>
    <t>B7</t>
  </si>
  <si>
    <t>R8</t>
  </si>
  <si>
    <t>Y8</t>
  </si>
  <si>
    <t>B8</t>
  </si>
  <si>
    <t>TOTAL</t>
  </si>
  <si>
    <t>KW</t>
  </si>
  <si>
    <t>DEMAND FACTOR</t>
  </si>
  <si>
    <t>TOTAL CONNECTED LOAD</t>
  </si>
  <si>
    <t>HO  OD</t>
  </si>
  <si>
    <t>EX. FAN</t>
  </si>
  <si>
    <t>SH.  S/O</t>
  </si>
  <si>
    <t>HD</t>
  </si>
  <si>
    <t>JBH - TALISE GYM</t>
  </si>
  <si>
    <t>40A 100mA  4P</t>
  </si>
  <si>
    <t>LTG</t>
  </si>
  <si>
    <t>CORRIDOR</t>
  </si>
  <si>
    <t>Watts Each</t>
  </si>
  <si>
    <t>(3-PHASE)</t>
  </si>
  <si>
    <t xml:space="preserve">      LOAD DISTRIBUTION SCHEDULE </t>
  </si>
  <si>
    <t>Location of DB :</t>
  </si>
  <si>
    <t>SO</t>
  </si>
  <si>
    <t>TSO</t>
  </si>
  <si>
    <t>13A</t>
  </si>
  <si>
    <t>15A</t>
  </si>
  <si>
    <t>WH</t>
  </si>
  <si>
    <t>SPUR</t>
  </si>
  <si>
    <t>40A 30mA  4P</t>
  </si>
  <si>
    <t>R9</t>
  </si>
  <si>
    <t>Y9</t>
  </si>
  <si>
    <t>B9</t>
  </si>
  <si>
    <t>R10</t>
  </si>
  <si>
    <t>Y10</t>
  </si>
  <si>
    <t>B10</t>
  </si>
  <si>
    <t>R11</t>
  </si>
  <si>
    <t>Y11</t>
  </si>
  <si>
    <t>B11</t>
  </si>
  <si>
    <t>R12</t>
  </si>
  <si>
    <t>Y12</t>
  </si>
  <si>
    <t>B12</t>
  </si>
  <si>
    <t>W/H:WATER HEATER , WM: WASHING MACHINE, FCU - FAN COIL UNIT, H/D- HAND DRYER</t>
  </si>
  <si>
    <t>CABLE SIZE :</t>
  </si>
  <si>
    <t>4C 35 mm² Cu/XLPE/SWA/PVC + 1C 16 mm² Cu/PVC ECC</t>
  </si>
  <si>
    <t>CL</t>
  </si>
  <si>
    <t>SPA LIGHTING</t>
  </si>
  <si>
    <t>SF</t>
  </si>
  <si>
    <t>SL</t>
  </si>
  <si>
    <t>40A TPN ISOLATOR</t>
  </si>
  <si>
    <t>MALE SAUNA</t>
  </si>
  <si>
    <t>TECH ROOM 2</t>
  </si>
  <si>
    <t>TECH ROOM 1</t>
  </si>
  <si>
    <t>63A TPN ISOLATOR</t>
  </si>
  <si>
    <t>SPARE</t>
  </si>
  <si>
    <t>NOTE:</t>
  </si>
  <si>
    <t>63A 100mA  4P</t>
  </si>
  <si>
    <t>63A 30mA  4P</t>
  </si>
  <si>
    <t>DETAILS OF CONNECTED LOAD / MAX. DEMAND</t>
  </si>
  <si>
    <t>SR.</t>
  </si>
  <si>
    <t>CIRCUIT</t>
  </si>
  <si>
    <t>SP/</t>
  </si>
  <si>
    <t>RATING-AMPS</t>
  </si>
  <si>
    <t>FAULT</t>
  </si>
  <si>
    <t>PVC/XLPE</t>
  </si>
  <si>
    <t>ECC</t>
  </si>
  <si>
    <t>CONNECTED LOAD-KW</t>
  </si>
  <si>
    <t>KWH METER</t>
  </si>
  <si>
    <t>REMARKS</t>
  </si>
  <si>
    <t>NO.</t>
  </si>
  <si>
    <t>FEEDER</t>
  </si>
  <si>
    <t>TP</t>
  </si>
  <si>
    <t>ISO</t>
  </si>
  <si>
    <t>MCCB</t>
  </si>
  <si>
    <t>DUTY</t>
  </si>
  <si>
    <t>SWA/PVC</t>
  </si>
  <si>
    <t>2/3/4C</t>
  </si>
  <si>
    <t>SIZE-1C</t>
  </si>
  <si>
    <t>R-PHASE</t>
  </si>
  <si>
    <t>Y-PHASE</t>
  </si>
  <si>
    <t>B-PHASE</t>
  </si>
  <si>
    <t>1 Ph</t>
  </si>
  <si>
    <t>3 Ph</t>
  </si>
  <si>
    <t>DB NO.</t>
  </si>
  <si>
    <t xml:space="preserve"> </t>
  </si>
  <si>
    <t>KA</t>
  </si>
  <si>
    <r>
      <t>mm</t>
    </r>
    <r>
      <rPr>
        <i/>
        <vertAlign val="superscript"/>
        <sz val="10"/>
        <rFont val="Times New Roman"/>
        <family val="1"/>
      </rPr>
      <t>2</t>
    </r>
  </si>
  <si>
    <t>(1)</t>
  </si>
  <si>
    <t>(2)</t>
  </si>
  <si>
    <t>(3)</t>
  </si>
  <si>
    <t>INCOMER</t>
  </si>
  <si>
    <t>XLPE/SWA/PVC</t>
  </si>
  <si>
    <t xml:space="preserve">             OUTGOING:</t>
  </si>
  <si>
    <t>TOTAL CONNECTED LOAD PER PHASE</t>
  </si>
  <si>
    <t>Type of Meter (Rating of Incomer) :</t>
  </si>
  <si>
    <t xml:space="preserve">                                                                               (3 PHASE)</t>
  </si>
  <si>
    <t>ACB</t>
  </si>
  <si>
    <t>4Cx35</t>
  </si>
  <si>
    <t>MDB CONNECTED TO : DEWA LV /DB / TRANSF.</t>
  </si>
  <si>
    <t>(1) UPTO 60A</t>
  </si>
  <si>
    <t>(1 PHASE)</t>
  </si>
  <si>
    <t xml:space="preserve">     (4) LV CT..…-..../....-..…A</t>
  </si>
  <si>
    <t>(5)HV CT……-…./…-…A</t>
  </si>
  <si>
    <t>MALE EXPERIENCE SHOWER</t>
  </si>
  <si>
    <t>1Cx16</t>
  </si>
  <si>
    <t>SP</t>
  </si>
  <si>
    <t>100A TPN ISOLATOR</t>
  </si>
  <si>
    <t>Fed from:     DB-1-SPA1</t>
  </si>
  <si>
    <t>1ST FLOOR, TECH ROOM2</t>
  </si>
  <si>
    <t>UB</t>
  </si>
  <si>
    <t>STRIP</t>
  </si>
  <si>
    <t>JB</t>
  </si>
  <si>
    <t>SH</t>
  </si>
  <si>
    <t>S/O</t>
  </si>
  <si>
    <t>FEMALE CHANGING AREA</t>
  </si>
  <si>
    <t>FEMALE CORRIDOR</t>
  </si>
  <si>
    <t>COUPLES TREATMENT ROOM</t>
  </si>
  <si>
    <t>COUPLES CHANGING ROOM</t>
  </si>
  <si>
    <t>COUPLE HAMMAM, STEAM ROOM</t>
  </si>
  <si>
    <t>SPA ENTRY CORRIDOR</t>
  </si>
  <si>
    <t>MALE WET AREA, SAUNA, STEAM</t>
  </si>
  <si>
    <t>MALE CHANGING AREA</t>
  </si>
  <si>
    <t>MALE CORRIDOR</t>
  </si>
  <si>
    <t>MALE TREATMENT ROOM 4</t>
  </si>
  <si>
    <t>MALE TREATMENT CORRIDOR</t>
  </si>
  <si>
    <t>MALE TREATMENT ROOM 1&amp;2</t>
  </si>
  <si>
    <t>MALE TREATMENT ROOM 3</t>
  </si>
  <si>
    <t>MALE RELAXATION ROOM</t>
  </si>
  <si>
    <t>FEMALE TREATMENT 3&amp;4</t>
  </si>
  <si>
    <t>FEMALE TREATMENT 5</t>
  </si>
  <si>
    <t>FEMALE RELAXATION ROOM</t>
  </si>
  <si>
    <t>FEMALE PREP</t>
  </si>
  <si>
    <t>FEMALE TREATMENT CORRIDOR</t>
  </si>
  <si>
    <t>MALE PREP</t>
  </si>
  <si>
    <t>4C 10 mm² Cu/XLPE/SWA/PVC + 1C 10 mm² Cu/PVC ECC</t>
  </si>
  <si>
    <t>DIVERSITY FACTOR</t>
  </si>
  <si>
    <t>TOTAL CONNECTED LOAD (PF=0.8)</t>
  </si>
  <si>
    <t>TOTAL DIVERSITY LOAD</t>
  </si>
  <si>
    <t>1ST FLOOR, NORTHWING</t>
  </si>
  <si>
    <t>ISOL</t>
  </si>
  <si>
    <t>F&amp;B / DIV MANAGER OFFICE LIGHTING</t>
  </si>
  <si>
    <t>SECRETARY AREA LIGHTING</t>
  </si>
  <si>
    <t>COPY RM/CHIEF ENGR/STORE LIGHTING</t>
  </si>
  <si>
    <t>DIR OF PERSONNEL OFFICE LIGHTING</t>
  </si>
  <si>
    <t>SPA</t>
  </si>
  <si>
    <t>LINEN ROOM LIGHTING</t>
  </si>
  <si>
    <t>F&amp;B / DIV MNAGER 13A RING</t>
  </si>
  <si>
    <t>SECRETARY AREA 13A RING</t>
  </si>
  <si>
    <t>COPY RM/CHIEF ENGR/STORE 13A RING</t>
  </si>
  <si>
    <t>DIR OF PERSONNEL OFICE 13A RING</t>
  </si>
  <si>
    <t>FEMALE TREATMENT ROOM 1</t>
  </si>
  <si>
    <t>FEMALE TREATMENT ROOM 2</t>
  </si>
  <si>
    <t>FEMALE TREATMENT ROOM 3</t>
  </si>
  <si>
    <t>FEMALE TREATMENT ROOM 4</t>
  </si>
  <si>
    <t>FEMALE TREATMENT ROOM 5</t>
  </si>
  <si>
    <t>F@B/DIV MANAGER/DIR PER FCU</t>
  </si>
  <si>
    <t>SECRETARY AREA FCU</t>
  </si>
  <si>
    <t>COPY RM / CHIEF ENGR / STORE FCU</t>
  </si>
  <si>
    <t>DIV MANAGER / SECRETARY FCU</t>
  </si>
  <si>
    <t>DB No:         DB-1-SPA2</t>
  </si>
  <si>
    <t>Fed from:     SMDB/1</t>
  </si>
  <si>
    <t>DB No:         DB-1-N2</t>
  </si>
  <si>
    <t>DB - 1 - SPA3</t>
  </si>
  <si>
    <t>WC-SENSORY FLUSH</t>
  </si>
  <si>
    <t>RELAXATION ROOM</t>
  </si>
  <si>
    <t>COUPLE SAUNA</t>
  </si>
  <si>
    <t>COUPLE STEAM GENERATOR</t>
  </si>
  <si>
    <t>COUPLE HAMMAM</t>
  </si>
  <si>
    <t>WHIRLPOOL</t>
  </si>
  <si>
    <t>TECH. ROOM 1</t>
  </si>
  <si>
    <t>TECH. ROOM 2</t>
  </si>
  <si>
    <t>FEMALE STEAM GENERATOR</t>
  </si>
  <si>
    <t>MALE STEAM GENERATOR</t>
  </si>
  <si>
    <t>160A TPN ISOLATOR</t>
  </si>
  <si>
    <t>4C 70 mm² Cu/XLPE/SWA/PVC + 1C 35 mm² Cu/PVC ECC</t>
  </si>
  <si>
    <t>DB No:         DB-1-SPA-1</t>
  </si>
  <si>
    <t>MALE TREATMENT ROOM-4</t>
  </si>
  <si>
    <t>MALE TREATMENT ROOM-3</t>
  </si>
  <si>
    <t>MALE TREATMENT ROOM-2</t>
  </si>
  <si>
    <t>MALE TREATMENT ROOM-1</t>
  </si>
  <si>
    <t>MALE PREP.</t>
  </si>
  <si>
    <t>COUPLES CHANGING AREA</t>
  </si>
  <si>
    <t>CORRIDOR,FCU</t>
  </si>
  <si>
    <t>DB No:         DB-1-SPA-3</t>
  </si>
  <si>
    <t>Fed from:     DB-1-SPA2</t>
  </si>
  <si>
    <t>1ST FLOOR, RETAIL STORAGE</t>
  </si>
  <si>
    <t>RECEPTION (LGT-603,703)</t>
  </si>
  <si>
    <t>RETAIL AND TESTING (LGT-703,601,101)</t>
  </si>
  <si>
    <t>RECEPTIOIN</t>
  </si>
  <si>
    <t>RECEPTION</t>
  </si>
  <si>
    <t>WAITING AND CONSULTATION AREA</t>
  </si>
  <si>
    <t>OUTDOOR BAR</t>
  </si>
  <si>
    <t>DISPLAY &amp; WAITING (LGT-101,703)</t>
  </si>
  <si>
    <t>50,20,10</t>
  </si>
  <si>
    <t>15,50</t>
  </si>
  <si>
    <t>FEMALE WET AREA, STEAM ROOM</t>
  </si>
  <si>
    <t>MALE CHANGING AREA , SHO</t>
  </si>
  <si>
    <t>B.O.H LIFT LOBBY, CLEAN LINEN STORAGE, MALE CORRIDOR</t>
  </si>
  <si>
    <t>MALE WC, STEAM ROOM</t>
  </si>
  <si>
    <t>DB No:         DB-SP-LL</t>
  </si>
  <si>
    <t>FEMALE TREATMENT 1&amp;2 , SHOWER</t>
  </si>
  <si>
    <t xml:space="preserve">        </t>
  </si>
  <si>
    <r>
      <t xml:space="preserve">PROJECT :  </t>
    </r>
    <r>
      <rPr>
        <b/>
        <i/>
        <sz val="10"/>
        <rFont val="Arial"/>
        <family val="2"/>
      </rPr>
      <t>JBH - TALISE GYM</t>
    </r>
  </si>
  <si>
    <t>SMDB REF : SMDB-1</t>
  </si>
  <si>
    <r>
      <t xml:space="preserve">FED FROM : </t>
    </r>
    <r>
      <rPr>
        <b/>
        <i/>
        <sz val="10"/>
        <rFont val="Arial"/>
        <family val="2"/>
      </rPr>
      <t>MDB-2</t>
    </r>
  </si>
  <si>
    <t>2-4Cx240</t>
  </si>
  <si>
    <t>2-1Cx120</t>
  </si>
  <si>
    <t>C.T</t>
  </si>
  <si>
    <t>DB-1-N4</t>
  </si>
  <si>
    <t>DB-1-N1</t>
  </si>
  <si>
    <t>DB-1-23</t>
  </si>
  <si>
    <t>SMDB-DB-1-N3</t>
  </si>
  <si>
    <t>DB-1-35.01</t>
  </si>
  <si>
    <t>DB-1-37.00</t>
  </si>
  <si>
    <t>DB-1-32.00</t>
  </si>
  <si>
    <t>DB-1-35.00</t>
  </si>
  <si>
    <t>DB-1-38.00</t>
  </si>
  <si>
    <t>DB-1-39.00</t>
  </si>
  <si>
    <t>DB-1-40.00</t>
  </si>
  <si>
    <t>DB-1-41.00</t>
  </si>
  <si>
    <t>DB-1-27.00</t>
  </si>
  <si>
    <t>DB-1-K1</t>
  </si>
  <si>
    <t>DB-1-36.00</t>
  </si>
  <si>
    <t>DB-1-RL</t>
  </si>
  <si>
    <t>4Cx25</t>
  </si>
  <si>
    <t>2CX25</t>
  </si>
  <si>
    <t>4Cx70</t>
  </si>
  <si>
    <t>4Cx240</t>
  </si>
  <si>
    <t>1Cx35</t>
  </si>
  <si>
    <t>1Cx120</t>
  </si>
  <si>
    <t>DB-1-N2</t>
  </si>
  <si>
    <t>NEW</t>
  </si>
  <si>
    <t>CANCELLED FROM PHASE 3</t>
  </si>
  <si>
    <t>AS PER AS-BUILT LOAD SCHED.</t>
  </si>
  <si>
    <t>REFER TO TALISE GYM</t>
  </si>
  <si>
    <t>LOCATION:   1ST FLOOR ELECT. ROOM GRID 54</t>
  </si>
  <si>
    <t>DB-1-25.00</t>
  </si>
  <si>
    <t>DB-1-24.02</t>
  </si>
  <si>
    <t>CB-1-N4</t>
  </si>
  <si>
    <t>CB-1-N1</t>
  </si>
  <si>
    <t>CB-1-N2</t>
  </si>
  <si>
    <t>CB-1-N3</t>
  </si>
  <si>
    <t>DB-1-N5</t>
  </si>
  <si>
    <t>2CX10</t>
  </si>
  <si>
    <t>4CX25</t>
  </si>
  <si>
    <t>2CX6</t>
  </si>
  <si>
    <t>4CX70</t>
  </si>
  <si>
    <t>DB-SP-LL</t>
  </si>
  <si>
    <t>REPLACE DB-1-42.00</t>
  </si>
  <si>
    <t>DB-1-SPA-1</t>
  </si>
  <si>
    <t>NOTE: NEW DB, TO REPLACE DB-1-K2</t>
  </si>
  <si>
    <t>4CX35</t>
  </si>
  <si>
    <t>1CX16</t>
  </si>
  <si>
    <t>1CX10</t>
  </si>
  <si>
    <t>1CX6</t>
  </si>
  <si>
    <t>1CX35</t>
  </si>
  <si>
    <t>FM. ICE FOUNTAIN</t>
  </si>
  <si>
    <t>FM. HEATED BENCH</t>
  </si>
  <si>
    <t>M. HEATED BENCH</t>
  </si>
  <si>
    <t>M. ICE FOUNTAIN</t>
  </si>
  <si>
    <t>FEMALE EXPERIENCE SHOWER</t>
  </si>
  <si>
    <t>DB-1-SPA-2</t>
  </si>
  <si>
    <t>REPLACE DN-1-K2</t>
  </si>
  <si>
    <t>BY KITCHEN SPECIALIST</t>
  </si>
  <si>
    <t xml:space="preserve"> RETAIL (LGT-704</t>
  </si>
  <si>
    <t>Ring</t>
  </si>
  <si>
    <t>4C 16+ mm² Cu/XLPE/SWA/PVC + 1C 16 mm² Cu/PVC ECC</t>
  </si>
  <si>
    <t>RING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</si>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</sst>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_-;\-* #,##0.00_-;_-* &quot;-&quot;??_-;_-@_-"/>
    <numFmt numFmtId="164" formatCode="_(* #,##0.00_);_(* \(#,##0.00\);_(* &quot;-&quot;??_);_(@_)"/>
    <numFmt numFmtId="165" formatCode="&quot;25 A, 4P, &quot;#&quot;MA&quot;"/>
    <numFmt numFmtId="166" formatCode="0.0"/>
    <numFmt numFmtId="167" formatCode="#,##0.0_);\(#,##0.0\)"/>
  </numFmts>
  <fonts count="25" x14ac:knownFonts="1">
    <font>
      <sz val="10"/>
      <name val="Arial"/>
    </font>
    <font>
      <b/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2"/>
      <name val="Courier"/>
      <family val="3"/>
    </font>
    <font>
      <sz val="10"/>
      <name val="Arial"/>
      <family val="2"/>
      <charset val="178"/>
    </font>
    <font>
      <b/>
      <sz val="14"/>
      <name val="Arial"/>
      <family val="2"/>
    </font>
    <font>
      <b/>
      <sz val="16"/>
      <name val="Arial"/>
      <family val="2"/>
    </font>
    <font>
      <sz val="11"/>
      <name val="Arial"/>
      <family val="2"/>
    </font>
    <font>
      <sz val="12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i/>
      <sz val="12"/>
      <name val="Arial"/>
      <family val="2"/>
    </font>
    <font>
      <i/>
      <u/>
      <sz val="12"/>
      <name val="Arial"/>
      <family val="2"/>
    </font>
    <font>
      <i/>
      <sz val="12"/>
      <name val="Arial"/>
      <family val="2"/>
    </font>
    <font>
      <i/>
      <sz val="11"/>
      <name val="Arial"/>
      <family val="2"/>
    </font>
    <font>
      <i/>
      <sz val="10"/>
      <name val="Times New Roman"/>
      <family val="1"/>
    </font>
    <font>
      <i/>
      <sz val="8"/>
      <name val="Times New Roman"/>
      <family val="1"/>
    </font>
    <font>
      <i/>
      <vertAlign val="superscript"/>
      <sz val="10"/>
      <name val="Times New Roman"/>
      <family val="1"/>
    </font>
    <font>
      <b/>
      <i/>
      <sz val="10"/>
      <name val="Times New Roman"/>
      <family val="1"/>
    </font>
    <font>
      <b/>
      <i/>
      <sz val="9"/>
      <name val="Times New Roman"/>
      <family val="1"/>
    </font>
    <font>
      <b/>
      <i/>
      <sz val="11"/>
      <name val="Arial"/>
      <family val="2"/>
    </font>
    <font>
      <sz val="10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8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64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8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medium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3" fontId="4" fillId="0" borderId="0"/>
    <xf numFmtId="0" fontId="3" fillId="0" borderId="0"/>
    <xf numFmtId="0" fontId="3" fillId="0" borderId="0"/>
    <xf numFmtId="43" fontId="4" fillId="0" borderId="0"/>
    <xf numFmtId="0" fontId="3" fillId="0" borderId="0"/>
    <xf numFmtId="0" fontId="9" fillId="0" borderId="0"/>
    <xf numFmtId="0" fontId="9" fillId="0" borderId="0"/>
    <xf numFmtId="164" fontId="23" fillId="0" borderId="0" applyFont="0" applyFill="0" applyBorder="0" applyAlignment="0" applyProtection="0"/>
  </cellStyleXfs>
  <cellXfs count="410">
    <xf numFmtId="0" fontId="0" fillId="0" borderId="0" xfId="0"/>
    <xf numFmtId="0" fontId="1" fillId="2" borderId="0" xfId="0" applyFont="1" applyFill="1" applyBorder="1"/>
    <xf numFmtId="0" fontId="0" fillId="2" borderId="0" xfId="0" applyFill="1" applyBorder="1"/>
    <xf numFmtId="0" fontId="1" fillId="2" borderId="0" xfId="0" applyFont="1" applyFill="1" applyBorder="1" applyAlignment="1"/>
    <xf numFmtId="0" fontId="2" fillId="2" borderId="2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7" fillId="2" borderId="5" xfId="0" applyFont="1" applyFill="1" applyBorder="1" applyAlignment="1">
      <alignment vertical="center"/>
    </xf>
    <xf numFmtId="0" fontId="7" fillId="2" borderId="29" xfId="0" applyFont="1" applyFill="1" applyBorder="1" applyAlignment="1">
      <alignment vertical="center"/>
    </xf>
    <xf numFmtId="0" fontId="1" fillId="2" borderId="2" xfId="0" applyFont="1" applyFill="1" applyBorder="1" applyAlignment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16" xfId="0" applyFont="1" applyFill="1" applyBorder="1" applyAlignment="1"/>
    <xf numFmtId="0" fontId="0" fillId="2" borderId="16" xfId="0" applyFill="1" applyBorder="1"/>
    <xf numFmtId="0" fontId="8" fillId="2" borderId="15" xfId="0" applyFont="1" applyFill="1" applyBorder="1" applyAlignment="1"/>
    <xf numFmtId="0" fontId="2" fillId="2" borderId="15" xfId="0" applyFont="1" applyFill="1" applyBorder="1" applyAlignment="1">
      <alignment vertical="center"/>
    </xf>
    <xf numFmtId="0" fontId="2" fillId="2" borderId="16" xfId="0" applyFont="1" applyFill="1" applyBorder="1" applyAlignment="1">
      <alignment vertical="center"/>
    </xf>
    <xf numFmtId="0" fontId="2" fillId="2" borderId="17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1" fontId="2" fillId="2" borderId="0" xfId="0" applyNumberFormat="1" applyFont="1" applyFill="1" applyBorder="1" applyAlignment="1">
      <alignment vertical="center"/>
    </xf>
    <xf numFmtId="0" fontId="3" fillId="2" borderId="0" xfId="0" applyFont="1" applyFill="1" applyBorder="1" applyAlignment="1">
      <alignment vertical="center" wrapText="1"/>
    </xf>
    <xf numFmtId="0" fontId="6" fillId="2" borderId="15" xfId="0" applyFont="1" applyFill="1" applyBorder="1" applyAlignment="1">
      <alignment vertical="center" wrapText="1"/>
    </xf>
    <xf numFmtId="0" fontId="6" fillId="2" borderId="16" xfId="0" applyFont="1" applyFill="1" applyBorder="1" applyAlignment="1">
      <alignment vertical="center" wrapText="1"/>
    </xf>
    <xf numFmtId="2" fontId="2" fillId="2" borderId="16" xfId="0" applyNumberFormat="1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0" fillId="2" borderId="0" xfId="0" applyFill="1" applyBorder="1" applyAlignment="1">
      <alignment horizontal="center" vertical="center" wrapText="1"/>
    </xf>
    <xf numFmtId="0" fontId="3" fillId="2" borderId="18" xfId="5" applyFont="1" applyFill="1" applyBorder="1" applyAlignment="1">
      <alignment horizontal="center" vertical="center"/>
    </xf>
    <xf numFmtId="0" fontId="3" fillId="2" borderId="18" xfId="5" applyFont="1" applyFill="1" applyBorder="1" applyAlignment="1" applyProtection="1">
      <alignment horizontal="center" vertical="center"/>
      <protection locked="0"/>
    </xf>
    <xf numFmtId="0" fontId="3" fillId="2" borderId="19" xfId="5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/>
    </xf>
    <xf numFmtId="0" fontId="3" fillId="2" borderId="19" xfId="5" applyFont="1" applyFill="1" applyBorder="1" applyAlignment="1" applyProtection="1">
      <alignment horizontal="center" vertical="center"/>
      <protection locked="0"/>
    </xf>
    <xf numFmtId="0" fontId="3" fillId="2" borderId="20" xfId="0" applyFont="1" applyFill="1" applyBorder="1" applyAlignment="1">
      <alignment horizontal="center" vertical="center"/>
    </xf>
    <xf numFmtId="0" fontId="3" fillId="2" borderId="21" xfId="5" applyFont="1" applyFill="1" applyBorder="1" applyAlignment="1" applyProtection="1">
      <alignment horizontal="center" vertical="center"/>
      <protection locked="0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1" fontId="0" fillId="2" borderId="18" xfId="0" applyNumberFormat="1" applyFill="1" applyBorder="1" applyAlignment="1">
      <alignment horizontal="center" vertical="center"/>
    </xf>
    <xf numFmtId="1" fontId="0" fillId="2" borderId="19" xfId="0" applyNumberFormat="1" applyFill="1" applyBorder="1" applyAlignment="1">
      <alignment horizontal="center" vertical="center"/>
    </xf>
    <xf numFmtId="1" fontId="0" fillId="2" borderId="21" xfId="0" applyNumberFormat="1" applyFill="1" applyBorder="1" applyAlignment="1">
      <alignment horizontal="center" vertical="center"/>
    </xf>
    <xf numFmtId="0" fontId="3" fillId="2" borderId="13" xfId="5" applyFont="1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>
      <alignment horizontal="center"/>
    </xf>
    <xf numFmtId="0" fontId="3" fillId="2" borderId="21" xfId="5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13" xfId="5" applyFont="1" applyFill="1" applyBorder="1" applyAlignment="1">
      <alignment horizontal="center" vertical="center"/>
    </xf>
    <xf numFmtId="3" fontId="5" fillId="2" borderId="19" xfId="0" applyNumberFormat="1" applyFont="1" applyFill="1" applyBorder="1" applyAlignment="1">
      <alignment horizontal="center" vertical="center"/>
    </xf>
    <xf numFmtId="3" fontId="5" fillId="2" borderId="21" xfId="0" applyNumberFormat="1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3" fontId="5" fillId="2" borderId="18" xfId="0" applyNumberFormat="1" applyFont="1" applyFill="1" applyBorder="1" applyAlignment="1">
      <alignment horizontal="center" vertical="center"/>
    </xf>
    <xf numFmtId="3" fontId="5" fillId="2" borderId="13" xfId="0" applyNumberFormat="1" applyFont="1" applyFill="1" applyBorder="1" applyAlignment="1">
      <alignment horizontal="center" vertical="center"/>
    </xf>
    <xf numFmtId="166" fontId="5" fillId="2" borderId="21" xfId="0" applyNumberFormat="1" applyFont="1" applyFill="1" applyBorder="1" applyAlignment="1">
      <alignment horizontal="center" vertical="center"/>
    </xf>
    <xf numFmtId="1" fontId="0" fillId="2" borderId="13" xfId="0" applyNumberForma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3" fillId="2" borderId="3" xfId="5" applyFont="1" applyFill="1" applyBorder="1" applyAlignment="1" applyProtection="1">
      <alignment horizontal="center" vertical="center"/>
      <protection locked="0"/>
    </xf>
    <xf numFmtId="3" fontId="5" fillId="2" borderId="3" xfId="0" applyNumberFormat="1" applyFont="1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 wrapText="1"/>
    </xf>
    <xf numFmtId="1" fontId="5" fillId="2" borderId="3" xfId="0" applyNumberFormat="1" applyFont="1" applyFill="1" applyBorder="1" applyAlignment="1">
      <alignment horizontal="center" vertical="center"/>
    </xf>
    <xf numFmtId="0" fontId="9" fillId="0" borderId="4" xfId="6" applyBorder="1"/>
    <xf numFmtId="0" fontId="9" fillId="0" borderId="5" xfId="6" applyBorder="1"/>
    <xf numFmtId="0" fontId="3" fillId="0" borderId="0" xfId="2"/>
    <xf numFmtId="0" fontId="10" fillId="0" borderId="0" xfId="6" applyFont="1" applyBorder="1" applyAlignment="1">
      <alignment horizontal="left"/>
    </xf>
    <xf numFmtId="0" fontId="13" fillId="0" borderId="0" xfId="6" applyFont="1" applyBorder="1" applyAlignment="1">
      <alignment horizontal="centerContinuous"/>
    </xf>
    <xf numFmtId="0" fontId="14" fillId="0" borderId="2" xfId="6" applyFont="1" applyBorder="1"/>
    <xf numFmtId="0" fontId="10" fillId="0" borderId="0" xfId="6" applyFont="1" applyBorder="1"/>
    <xf numFmtId="0" fontId="14" fillId="0" borderId="0" xfId="6" applyFont="1" applyBorder="1"/>
    <xf numFmtId="0" fontId="15" fillId="0" borderId="0" xfId="6" applyFont="1" applyBorder="1"/>
    <xf numFmtId="0" fontId="11" fillId="0" borderId="0" xfId="6" applyFont="1" applyBorder="1" applyAlignment="1"/>
    <xf numFmtId="0" fontId="11" fillId="0" borderId="6" xfId="6" applyFont="1" applyBorder="1" applyAlignment="1"/>
    <xf numFmtId="0" fontId="11" fillId="0" borderId="0" xfId="6" applyFont="1" applyBorder="1" applyAlignment="1">
      <alignment horizontal="left"/>
    </xf>
    <xf numFmtId="0" fontId="11" fillId="0" borderId="0" xfId="6" applyFont="1" applyBorder="1"/>
    <xf numFmtId="0" fontId="9" fillId="0" borderId="6" xfId="6" applyBorder="1"/>
    <xf numFmtId="0" fontId="10" fillId="0" borderId="2" xfId="6" applyFont="1" applyBorder="1" applyAlignment="1">
      <alignment horizontal="left"/>
    </xf>
    <xf numFmtId="0" fontId="11" fillId="0" borderId="6" xfId="6" applyFont="1" applyBorder="1"/>
    <xf numFmtId="0" fontId="10" fillId="0" borderId="48" xfId="6" applyFont="1" applyBorder="1"/>
    <xf numFmtId="0" fontId="12" fillId="0" borderId="0" xfId="6" applyFont="1" applyBorder="1"/>
    <xf numFmtId="0" fontId="12" fillId="0" borderId="49" xfId="6" applyFont="1" applyBorder="1"/>
    <xf numFmtId="0" fontId="10" fillId="0" borderId="0" xfId="6" applyFont="1" applyBorder="1" applyAlignment="1"/>
    <xf numFmtId="0" fontId="16" fillId="0" borderId="0" xfId="6" applyFont="1" applyBorder="1" applyAlignment="1"/>
    <xf numFmtId="0" fontId="16" fillId="0" borderId="0" xfId="6" applyFont="1" applyBorder="1" applyAlignment="1">
      <alignment horizontal="center" vertical="center"/>
    </xf>
    <xf numFmtId="0" fontId="19" fillId="0" borderId="0" xfId="6" applyFont="1" applyBorder="1" applyAlignment="1">
      <alignment horizontal="center"/>
    </xf>
    <xf numFmtId="39" fontId="19" fillId="0" borderId="0" xfId="6" applyNumberFormat="1" applyFont="1" applyBorder="1" applyAlignment="1" applyProtection="1">
      <alignment horizontal="center"/>
    </xf>
    <xf numFmtId="0" fontId="19" fillId="0" borderId="0" xfId="6" applyNumberFormat="1" applyFont="1" applyBorder="1" applyAlignment="1" applyProtection="1">
      <alignment horizontal="center"/>
    </xf>
    <xf numFmtId="0" fontId="19" fillId="0" borderId="6" xfId="6" applyFont="1" applyBorder="1" applyAlignment="1">
      <alignment horizontal="left"/>
    </xf>
    <xf numFmtId="2" fontId="19" fillId="0" borderId="0" xfId="6" applyNumberFormat="1" applyFont="1" applyBorder="1" applyAlignment="1">
      <alignment horizontal="center" vertical="center"/>
    </xf>
    <xf numFmtId="0" fontId="16" fillId="0" borderId="0" xfId="6" applyFont="1" applyBorder="1" applyAlignment="1">
      <alignment horizontal="left" vertical="center"/>
    </xf>
    <xf numFmtId="0" fontId="14" fillId="0" borderId="14" xfId="6" applyFont="1" applyBorder="1"/>
    <xf numFmtId="0" fontId="10" fillId="0" borderId="1" xfId="6" applyFont="1" applyBorder="1" applyAlignment="1"/>
    <xf numFmtId="0" fontId="16" fillId="0" borderId="1" xfId="6" applyFont="1" applyBorder="1" applyAlignment="1"/>
    <xf numFmtId="0" fontId="16" fillId="0" borderId="1" xfId="6" applyFont="1" applyBorder="1"/>
    <xf numFmtId="0" fontId="19" fillId="0" borderId="1" xfId="6" applyFont="1" applyBorder="1" applyAlignment="1">
      <alignment horizontal="left"/>
    </xf>
    <xf numFmtId="167" fontId="16" fillId="0" borderId="1" xfId="6" applyNumberFormat="1" applyFont="1" applyBorder="1" applyProtection="1"/>
    <xf numFmtId="0" fontId="16" fillId="0" borderId="69" xfId="6" applyFont="1" applyBorder="1"/>
    <xf numFmtId="0" fontId="14" fillId="0" borderId="6" xfId="6" applyFont="1" applyBorder="1"/>
    <xf numFmtId="0" fontId="14" fillId="0" borderId="15" xfId="6" applyFont="1" applyBorder="1"/>
    <xf numFmtId="0" fontId="14" fillId="0" borderId="16" xfId="6" applyFont="1" applyBorder="1"/>
    <xf numFmtId="0" fontId="10" fillId="0" borderId="16" xfId="6" applyFont="1" applyBorder="1" applyAlignment="1">
      <alignment horizontal="center" vertical="center"/>
    </xf>
    <xf numFmtId="0" fontId="10" fillId="0" borderId="16" xfId="6" applyFont="1" applyBorder="1" applyAlignment="1">
      <alignment vertical="center"/>
    </xf>
    <xf numFmtId="0" fontId="10" fillId="0" borderId="16" xfId="6" applyFont="1" applyBorder="1" applyAlignment="1">
      <alignment horizontal="center"/>
    </xf>
    <xf numFmtId="0" fontId="10" fillId="0" borderId="16" xfId="6" applyFont="1" applyBorder="1"/>
    <xf numFmtId="0" fontId="14" fillId="0" borderId="17" xfId="6" applyFont="1" applyBorder="1"/>
    <xf numFmtId="0" fontId="10" fillId="0" borderId="0" xfId="6" applyFont="1" applyBorder="1" applyAlignment="1">
      <alignment horizontal="center"/>
    </xf>
    <xf numFmtId="0" fontId="0" fillId="2" borderId="18" xfId="0" applyFill="1" applyBorder="1" applyAlignment="1">
      <alignment horizontal="center" vertical="center"/>
    </xf>
    <xf numFmtId="1" fontId="5" fillId="2" borderId="19" xfId="0" applyNumberFormat="1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166" fontId="5" fillId="2" borderId="18" xfId="0" applyNumberFormat="1" applyFont="1" applyFill="1" applyBorder="1" applyAlignment="1">
      <alignment horizontal="center" vertical="center"/>
    </xf>
    <xf numFmtId="166" fontId="5" fillId="2" borderId="19" xfId="0" applyNumberFormat="1" applyFont="1" applyFill="1" applyBorder="1" applyAlignment="1">
      <alignment horizontal="center" vertical="center"/>
    </xf>
    <xf numFmtId="0" fontId="10" fillId="2" borderId="10" xfId="6" applyFont="1" applyFill="1" applyBorder="1" applyAlignment="1">
      <alignment horizontal="center"/>
    </xf>
    <xf numFmtId="0" fontId="11" fillId="2" borderId="61" xfId="6" applyFont="1" applyFill="1" applyBorder="1" applyAlignment="1">
      <alignment horizontal="left" indent="1"/>
    </xf>
    <xf numFmtId="0" fontId="19" fillId="2" borderId="59" xfId="6" applyFont="1" applyFill="1" applyBorder="1" applyAlignment="1">
      <alignment horizontal="center"/>
    </xf>
    <xf numFmtId="0" fontId="19" fillId="2" borderId="51" xfId="6" applyFont="1" applyFill="1" applyBorder="1" applyAlignment="1">
      <alignment horizontal="center" vertical="center"/>
    </xf>
    <xf numFmtId="0" fontId="20" fillId="2" borderId="51" xfId="6" applyFont="1" applyFill="1" applyBorder="1" applyAlignment="1">
      <alignment horizontal="center" vertical="center"/>
    </xf>
    <xf numFmtId="0" fontId="20" fillId="2" borderId="59" xfId="6" applyFont="1" applyFill="1" applyBorder="1" applyAlignment="1">
      <alignment horizontal="center"/>
    </xf>
    <xf numFmtId="2" fontId="19" fillId="2" borderId="59" xfId="6" applyNumberFormat="1" applyFont="1" applyFill="1" applyBorder="1" applyAlignment="1" applyProtection="1">
      <alignment horizontal="center"/>
    </xf>
    <xf numFmtId="0" fontId="19" fillId="2" borderId="62" xfId="6" applyFont="1" applyFill="1" applyBorder="1" applyAlignment="1">
      <alignment horizontal="center"/>
    </xf>
    <xf numFmtId="0" fontId="0" fillId="2" borderId="27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 wrapText="1"/>
    </xf>
    <xf numFmtId="1" fontId="3" fillId="2" borderId="21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textRotation="90" wrapText="1"/>
    </xf>
    <xf numFmtId="166" fontId="5" fillId="2" borderId="77" xfId="0" applyNumberFormat="1" applyFont="1" applyFill="1" applyBorder="1" applyAlignment="1">
      <alignment horizontal="center" vertical="center"/>
    </xf>
    <xf numFmtId="166" fontId="5" fillId="2" borderId="44" xfId="0" applyNumberFormat="1" applyFont="1" applyFill="1" applyBorder="1" applyAlignment="1">
      <alignment horizontal="center" vertical="center"/>
    </xf>
    <xf numFmtId="1" fontId="5" fillId="2" borderId="13" xfId="8" applyNumberFormat="1" applyFont="1" applyFill="1" applyBorder="1" applyAlignment="1">
      <alignment horizontal="center" vertical="center"/>
    </xf>
    <xf numFmtId="0" fontId="0" fillId="3" borderId="0" xfId="0" applyFill="1" applyBorder="1"/>
    <xf numFmtId="0" fontId="3" fillId="3" borderId="0" xfId="2" applyFill="1"/>
    <xf numFmtId="0" fontId="5" fillId="2" borderId="13" xfId="0" applyFont="1" applyFill="1" applyBorder="1" applyAlignment="1">
      <alignment horizontal="center" vertical="center"/>
    </xf>
    <xf numFmtId="166" fontId="5" fillId="2" borderId="13" xfId="0" applyNumberFormat="1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3" fillId="2" borderId="3" xfId="5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/>
    </xf>
    <xf numFmtId="1" fontId="5" fillId="2" borderId="39" xfId="0" applyNumberFormat="1" applyFont="1" applyFill="1" applyBorder="1" applyAlignment="1">
      <alignment vertical="center"/>
    </xf>
    <xf numFmtId="1" fontId="5" fillId="2" borderId="3" xfId="0" applyNumberFormat="1" applyFont="1" applyFill="1" applyBorder="1" applyAlignment="1">
      <alignment vertical="center"/>
    </xf>
    <xf numFmtId="1" fontId="5" fillId="2" borderId="19" xfId="0" applyNumberFormat="1" applyFont="1" applyFill="1" applyBorder="1" applyAlignment="1">
      <alignment vertical="center"/>
    </xf>
    <xf numFmtId="0" fontId="5" fillId="2" borderId="21" xfId="0" applyFont="1" applyFill="1" applyBorder="1" applyAlignment="1">
      <alignment horizontal="center"/>
    </xf>
    <xf numFmtId="3" fontId="5" fillId="2" borderId="13" xfId="0" applyNumberFormat="1" applyFont="1" applyFill="1" applyBorder="1" applyAlignment="1">
      <alignment vertical="center"/>
    </xf>
    <xf numFmtId="0" fontId="0" fillId="2" borderId="1" xfId="0" applyFill="1" applyBorder="1"/>
    <xf numFmtId="0" fontId="3" fillId="2" borderId="18" xfId="0" applyFont="1" applyFill="1" applyBorder="1" applyAlignment="1">
      <alignment vertical="center"/>
    </xf>
    <xf numFmtId="3" fontId="5" fillId="2" borderId="18" xfId="0" applyNumberFormat="1" applyFont="1" applyFill="1" applyBorder="1" applyAlignment="1">
      <alignment vertical="center"/>
    </xf>
    <xf numFmtId="0" fontId="3" fillId="2" borderId="13" xfId="0" applyFont="1" applyFill="1" applyBorder="1" applyAlignment="1">
      <alignment vertical="center"/>
    </xf>
    <xf numFmtId="1" fontId="2" fillId="2" borderId="18" xfId="0" applyNumberFormat="1" applyFont="1" applyFill="1" applyBorder="1" applyAlignment="1">
      <alignment vertical="center"/>
    </xf>
    <xf numFmtId="1" fontId="2" fillId="2" borderId="22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" fontId="2" fillId="2" borderId="77" xfId="0" applyNumberFormat="1" applyFont="1" applyFill="1" applyBorder="1" applyAlignment="1">
      <alignment vertical="center"/>
    </xf>
    <xf numFmtId="1" fontId="2" fillId="2" borderId="27" xfId="0" applyNumberFormat="1" applyFont="1" applyFill="1" applyBorder="1" applyAlignment="1">
      <alignment horizontal="center" vertical="center"/>
    </xf>
    <xf numFmtId="1" fontId="2" fillId="2" borderId="20" xfId="0" applyNumberFormat="1" applyFont="1" applyFill="1" applyBorder="1" applyAlignment="1">
      <alignment horizontal="center" vertical="center"/>
    </xf>
    <xf numFmtId="1" fontId="2" fillId="2" borderId="26" xfId="0" applyNumberFormat="1" applyFont="1" applyFill="1" applyBorder="1" applyAlignment="1">
      <alignment horizontal="center" vertical="center"/>
    </xf>
    <xf numFmtId="1" fontId="2" fillId="2" borderId="74" xfId="0" applyNumberFormat="1" applyFont="1" applyFill="1" applyBorder="1" applyAlignment="1">
      <alignment horizontal="center" vertical="center"/>
    </xf>
    <xf numFmtId="0" fontId="0" fillId="2" borderId="0" xfId="0" applyFill="1"/>
    <xf numFmtId="1" fontId="5" fillId="2" borderId="13" xfId="0" applyNumberFormat="1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1" fontId="3" fillId="2" borderId="1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1" fontId="3" fillId="2" borderId="19" xfId="0" applyNumberFormat="1" applyFont="1" applyFill="1" applyBorder="1" applyAlignment="1">
      <alignment horizontal="center" vertical="center"/>
    </xf>
    <xf numFmtId="0" fontId="3" fillId="2" borderId="40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/>
    </xf>
    <xf numFmtId="0" fontId="0" fillId="2" borderId="25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22" fillId="2" borderId="70" xfId="6" applyFont="1" applyFill="1" applyBorder="1" applyAlignment="1">
      <alignment horizontal="center" vertical="center"/>
    </xf>
    <xf numFmtId="0" fontId="22" fillId="2" borderId="71" xfId="6" applyFont="1" applyFill="1" applyBorder="1" applyAlignment="1">
      <alignment horizontal="center" vertical="center"/>
    </xf>
    <xf numFmtId="0" fontId="22" fillId="2" borderId="72" xfId="6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0" fillId="2" borderId="42" xfId="0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39" xfId="0" applyFill="1" applyBorder="1" applyAlignment="1">
      <alignment horizontal="center" vertical="center"/>
    </xf>
    <xf numFmtId="0" fontId="0" fillId="2" borderId="42" xfId="0" applyFill="1" applyBorder="1" applyAlignment="1">
      <alignment horizontal="center" vertical="center"/>
    </xf>
    <xf numFmtId="166" fontId="5" fillId="2" borderId="28" xfId="0" applyNumberFormat="1" applyFont="1" applyFill="1" applyBorder="1" applyAlignment="1">
      <alignment horizontal="center" vertical="center"/>
    </xf>
    <xf numFmtId="0" fontId="5" fillId="2" borderId="39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10" fillId="2" borderId="7" xfId="6" applyFont="1" applyFill="1" applyBorder="1"/>
    <xf numFmtId="0" fontId="10" fillId="2" borderId="50" xfId="6" applyFont="1" applyFill="1" applyBorder="1" applyAlignment="1">
      <alignment horizontal="center"/>
    </xf>
    <xf numFmtId="0" fontId="16" fillId="2" borderId="51" xfId="6" applyFont="1" applyFill="1" applyBorder="1" applyAlignment="1">
      <alignment horizontal="center"/>
    </xf>
    <xf numFmtId="0" fontId="16" fillId="2" borderId="54" xfId="6" applyFont="1" applyFill="1" applyBorder="1" applyAlignment="1">
      <alignment horizontal="center"/>
    </xf>
    <xf numFmtId="0" fontId="16" fillId="2" borderId="55" xfId="6" applyFont="1" applyFill="1" applyBorder="1" applyAlignment="1">
      <alignment horizontal="center"/>
    </xf>
    <xf numFmtId="0" fontId="10" fillId="2" borderId="8" xfId="6" applyFont="1" applyFill="1" applyBorder="1"/>
    <xf numFmtId="0" fontId="10" fillId="2" borderId="56" xfId="6" applyFont="1" applyFill="1" applyBorder="1" applyAlignment="1">
      <alignment horizontal="center"/>
    </xf>
    <xf numFmtId="0" fontId="16" fillId="2" borderId="57" xfId="6" applyFont="1" applyFill="1" applyBorder="1" applyAlignment="1">
      <alignment horizontal="center"/>
    </xf>
    <xf numFmtId="0" fontId="17" fillId="2" borderId="51" xfId="6" applyFont="1" applyFill="1" applyBorder="1" applyAlignment="1">
      <alignment horizontal="center"/>
    </xf>
    <xf numFmtId="0" fontId="16" fillId="2" borderId="58" xfId="6" applyFont="1" applyFill="1" applyBorder="1"/>
    <xf numFmtId="0" fontId="10" fillId="2" borderId="9" xfId="6" applyFont="1" applyFill="1" applyBorder="1"/>
    <xf numFmtId="0" fontId="16" fillId="2" borderId="59" xfId="6" applyFont="1" applyFill="1" applyBorder="1"/>
    <xf numFmtId="0" fontId="16" fillId="2" borderId="59" xfId="6" applyFont="1" applyFill="1" applyBorder="1" applyAlignment="1">
      <alignment horizontal="center"/>
    </xf>
    <xf numFmtId="0" fontId="16" fillId="2" borderId="59" xfId="6" applyFont="1" applyFill="1" applyBorder="1" applyAlignment="1">
      <alignment horizontal="left"/>
    </xf>
    <xf numFmtId="0" fontId="17" fillId="2" borderId="59" xfId="6" applyFont="1" applyFill="1" applyBorder="1" applyAlignment="1">
      <alignment horizontal="center"/>
    </xf>
    <xf numFmtId="0" fontId="16" fillId="2" borderId="60" xfId="6" applyFont="1" applyFill="1" applyBorder="1"/>
    <xf numFmtId="0" fontId="14" fillId="2" borderId="10" xfId="6" applyFont="1" applyFill="1" applyBorder="1"/>
    <xf numFmtId="0" fontId="10" fillId="2" borderId="3" xfId="6" applyFont="1" applyFill="1" applyBorder="1" applyAlignment="1">
      <alignment horizontal="center" vertical="center"/>
    </xf>
    <xf numFmtId="0" fontId="19" fillId="2" borderId="50" xfId="6" applyFont="1" applyFill="1" applyBorder="1" applyAlignment="1">
      <alignment horizontal="center" vertical="center"/>
    </xf>
    <xf numFmtId="0" fontId="16" fillId="2" borderId="51" xfId="6" applyFont="1" applyFill="1" applyBorder="1" applyAlignment="1">
      <alignment horizontal="center" vertical="center"/>
    </xf>
    <xf numFmtId="0" fontId="19" fillId="2" borderId="51" xfId="6" applyFont="1" applyFill="1" applyBorder="1" applyAlignment="1">
      <alignment horizontal="center" vertical="center" wrapText="1"/>
    </xf>
    <xf numFmtId="0" fontId="20" fillId="2" borderId="51" xfId="7" applyFont="1" applyFill="1" applyBorder="1" applyAlignment="1">
      <alignment horizontal="center" vertical="center"/>
    </xf>
    <xf numFmtId="2" fontId="19" fillId="2" borderId="51" xfId="6" applyNumberFormat="1" applyFont="1" applyFill="1" applyBorder="1" applyAlignment="1">
      <alignment horizontal="center" vertical="center"/>
    </xf>
    <xf numFmtId="2" fontId="19" fillId="2" borderId="57" xfId="6" applyNumberFormat="1" applyFont="1" applyFill="1" applyBorder="1" applyAlignment="1" applyProtection="1">
      <alignment horizontal="center"/>
    </xf>
    <xf numFmtId="0" fontId="16" fillId="2" borderId="55" xfId="6" applyFont="1" applyFill="1" applyBorder="1" applyAlignment="1">
      <alignment horizontal="center" vertical="center"/>
    </xf>
    <xf numFmtId="0" fontId="21" fillId="2" borderId="46" xfId="6" applyFont="1" applyFill="1" applyBorder="1" applyAlignment="1">
      <alignment vertical="center"/>
    </xf>
    <xf numFmtId="0" fontId="15" fillId="2" borderId="47" xfId="6" applyFont="1" applyFill="1" applyBorder="1" applyAlignment="1">
      <alignment vertical="center"/>
    </xf>
    <xf numFmtId="2" fontId="19" fillId="2" borderId="62" xfId="6" applyNumberFormat="1" applyFont="1" applyFill="1" applyBorder="1" applyAlignment="1" applyProtection="1">
      <alignment horizontal="center"/>
    </xf>
    <xf numFmtId="0" fontId="10" fillId="2" borderId="2" xfId="6" applyFont="1" applyFill="1" applyBorder="1"/>
    <xf numFmtId="0" fontId="10" fillId="2" borderId="0" xfId="6" applyFont="1" applyFill="1" applyBorder="1" applyAlignment="1"/>
    <xf numFmtId="0" fontId="16" fillId="2" borderId="0" xfId="6" applyFont="1" applyFill="1" applyBorder="1" applyAlignment="1"/>
    <xf numFmtId="0" fontId="19" fillId="2" borderId="65" xfId="6" applyFont="1" applyFill="1" applyBorder="1" applyAlignment="1">
      <alignment horizontal="center"/>
    </xf>
    <xf numFmtId="0" fontId="19" fillId="2" borderId="51" xfId="6" applyFont="1" applyFill="1" applyBorder="1" applyAlignment="1">
      <alignment horizontal="center"/>
    </xf>
    <xf numFmtId="0" fontId="14" fillId="2" borderId="11" xfId="6" applyFont="1" applyFill="1" applyBorder="1"/>
    <xf numFmtId="0" fontId="10" fillId="2" borderId="12" xfId="6" applyFont="1" applyFill="1" applyBorder="1" applyAlignment="1"/>
    <xf numFmtId="0" fontId="16" fillId="2" borderId="12" xfId="6" applyFont="1" applyFill="1" applyBorder="1" applyAlignment="1"/>
    <xf numFmtId="0" fontId="19" fillId="2" borderId="13" xfId="6" applyFont="1" applyFill="1" applyBorder="1" applyAlignment="1">
      <alignment horizontal="center"/>
    </xf>
    <xf numFmtId="0" fontId="19" fillId="2" borderId="66" xfId="6" applyNumberFormat="1" applyFont="1" applyFill="1" applyBorder="1" applyAlignment="1" applyProtection="1">
      <alignment horizontal="center"/>
    </xf>
    <xf numFmtId="2" fontId="19" fillId="2" borderId="68" xfId="6" applyNumberFormat="1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vertical="center"/>
    </xf>
    <xf numFmtId="3" fontId="5" fillId="2" borderId="19" xfId="0" applyNumberFormat="1" applyFont="1" applyFill="1" applyBorder="1" applyAlignment="1">
      <alignment vertical="center"/>
    </xf>
    <xf numFmtId="0" fontId="3" fillId="2" borderId="28" xfId="0" applyFont="1" applyFill="1" applyBorder="1" applyAlignment="1">
      <alignment vertical="center"/>
    </xf>
    <xf numFmtId="3" fontId="5" fillId="2" borderId="28" xfId="0" applyNumberFormat="1" applyFont="1" applyFill="1" applyBorder="1" applyAlignment="1">
      <alignment vertical="center"/>
    </xf>
    <xf numFmtId="0" fontId="11" fillId="3" borderId="61" xfId="6" applyFont="1" applyFill="1" applyBorder="1" applyAlignment="1">
      <alignment horizontal="left" indent="1"/>
    </xf>
    <xf numFmtId="0" fontId="19" fillId="3" borderId="59" xfId="6" applyFont="1" applyFill="1" applyBorder="1" applyAlignment="1">
      <alignment horizontal="center"/>
    </xf>
    <xf numFmtId="0" fontId="19" fillId="3" borderId="51" xfId="6" applyFont="1" applyFill="1" applyBorder="1" applyAlignment="1">
      <alignment horizontal="center" vertical="center"/>
    </xf>
    <xf numFmtId="0" fontId="20" fillId="3" borderId="51" xfId="6" applyFont="1" applyFill="1" applyBorder="1" applyAlignment="1">
      <alignment horizontal="center" vertical="center"/>
    </xf>
    <xf numFmtId="0" fontId="20" fillId="3" borderId="59" xfId="6" applyFont="1" applyFill="1" applyBorder="1" applyAlignment="1">
      <alignment horizontal="center"/>
    </xf>
    <xf numFmtId="2" fontId="19" fillId="3" borderId="59" xfId="6" applyNumberFormat="1" applyFont="1" applyFill="1" applyBorder="1" applyAlignment="1" applyProtection="1">
      <alignment horizontal="center"/>
    </xf>
    <xf numFmtId="0" fontId="10" fillId="3" borderId="10" xfId="6" applyFont="1" applyFill="1" applyBorder="1" applyAlignment="1">
      <alignment horizontal="center"/>
    </xf>
    <xf numFmtId="0" fontId="19" fillId="3" borderId="62" xfId="6" applyFont="1" applyFill="1" applyBorder="1" applyAlignment="1">
      <alignment horizontal="center"/>
    </xf>
    <xf numFmtId="0" fontId="0" fillId="2" borderId="4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3" fillId="3" borderId="13" xfId="5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166" fontId="5" fillId="3" borderId="19" xfId="0" applyNumberFormat="1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vertical="center"/>
    </xf>
    <xf numFmtId="0" fontId="0" fillId="3" borderId="19" xfId="0" applyFill="1" applyBorder="1" applyAlignment="1">
      <alignment horizontal="center" vertical="center"/>
    </xf>
    <xf numFmtId="1" fontId="0" fillId="3" borderId="13" xfId="0" applyNumberFormat="1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3" fillId="3" borderId="27" xfId="0" applyFont="1" applyFill="1" applyBorder="1" applyAlignment="1">
      <alignment horizontal="center" vertical="center"/>
    </xf>
    <xf numFmtId="3" fontId="5" fillId="3" borderId="19" xfId="0" applyNumberFormat="1" applyFont="1" applyFill="1" applyBorder="1" applyAlignment="1">
      <alignment horizontal="center" vertical="center"/>
    </xf>
    <xf numFmtId="166" fontId="5" fillId="3" borderId="13" xfId="0" applyNumberFormat="1" applyFont="1" applyFill="1" applyBorder="1" applyAlignment="1">
      <alignment horizontal="center" vertical="center"/>
    </xf>
    <xf numFmtId="0" fontId="3" fillId="3" borderId="13" xfId="5" applyFont="1" applyFill="1" applyBorder="1" applyAlignment="1" applyProtection="1">
      <alignment horizontal="center" vertical="center"/>
      <protection locked="0"/>
    </xf>
    <xf numFmtId="3" fontId="5" fillId="3" borderId="13" xfId="0" applyNumberFormat="1" applyFont="1" applyFill="1" applyBorder="1" applyAlignment="1">
      <alignment horizontal="center" vertical="center"/>
    </xf>
    <xf numFmtId="1" fontId="0" fillId="3" borderId="18" xfId="0" applyNumberFormat="1" applyFill="1" applyBorder="1" applyAlignment="1">
      <alignment horizontal="center" vertical="center"/>
    </xf>
    <xf numFmtId="0" fontId="0" fillId="3" borderId="39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3" fillId="3" borderId="19" xfId="5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3" fillId="3" borderId="19" xfId="5" applyFont="1" applyFill="1" applyBorder="1" applyAlignment="1" applyProtection="1">
      <alignment horizontal="center" vertical="center"/>
      <protection locked="0"/>
    </xf>
    <xf numFmtId="1" fontId="0" fillId="3" borderId="19" xfId="0" applyNumberForma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1" fontId="5" fillId="3" borderId="19" xfId="0" applyNumberFormat="1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/>
    </xf>
    <xf numFmtId="0" fontId="0" fillId="3" borderId="7" xfId="0" applyFill="1" applyBorder="1" applyAlignment="1">
      <alignment horizontal="center" vertical="center"/>
    </xf>
    <xf numFmtId="0" fontId="3" fillId="3" borderId="3" xfId="5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166" fontId="5" fillId="3" borderId="21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3" xfId="5" applyFont="1" applyFill="1" applyBorder="1" applyAlignment="1" applyProtection="1">
      <alignment horizontal="center" vertical="center"/>
      <protection locked="0"/>
    </xf>
    <xf numFmtId="3" fontId="5" fillId="3" borderId="3" xfId="0" applyNumberFormat="1" applyFont="1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1" fontId="0" fillId="3" borderId="21" xfId="0" applyNumberFormat="1" applyFill="1" applyBorder="1" applyAlignment="1">
      <alignment horizontal="center" vertical="center"/>
    </xf>
    <xf numFmtId="0" fontId="3" fillId="3" borderId="33" xfId="0" applyFont="1" applyFill="1" applyBorder="1" applyAlignment="1">
      <alignment horizontal="center" vertical="center"/>
    </xf>
    <xf numFmtId="0" fontId="0" fillId="3" borderId="40" xfId="0" applyFill="1" applyBorder="1" applyAlignment="1">
      <alignment horizontal="center" vertical="center"/>
    </xf>
    <xf numFmtId="0" fontId="3" fillId="3" borderId="21" xfId="5" applyFont="1" applyFill="1" applyBorder="1" applyAlignment="1">
      <alignment horizontal="center" vertical="center"/>
    </xf>
    <xf numFmtId="0" fontId="3" fillId="3" borderId="21" xfId="5" applyFont="1" applyFill="1" applyBorder="1" applyAlignment="1" applyProtection="1">
      <alignment horizontal="center" vertical="center"/>
      <protection locked="0"/>
    </xf>
    <xf numFmtId="3" fontId="5" fillId="3" borderId="21" xfId="0" applyNumberFormat="1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0" fillId="3" borderId="19" xfId="0" applyFill="1" applyBorder="1" applyAlignment="1">
      <alignment horizontal="center"/>
    </xf>
    <xf numFmtId="0" fontId="3" fillId="3" borderId="19" xfId="0" applyFont="1" applyFill="1" applyBorder="1" applyAlignment="1">
      <alignment horizontal="center" vertical="center"/>
    </xf>
    <xf numFmtId="0" fontId="24" fillId="4" borderId="51" xfId="6" applyFont="1" applyFill="1" applyBorder="1" applyAlignment="1">
      <alignment horizontal="center" vertical="center"/>
    </xf>
    <xf numFmtId="0" fontId="24" fillId="5" borderId="59" xfId="6" applyFont="1" applyFill="1" applyBorder="1" applyAlignment="1">
      <alignment horizontal="center"/>
    </xf>
    <xf numFmtId="0" fontId="19" fillId="6" borderId="59" xfId="6" applyFont="1" applyFill="1" applyBorder="1" applyAlignment="1">
      <alignment horizontal="center"/>
    </xf>
    <xf numFmtId="0" fontId="19" fillId="7" borderId="59" xfId="6" applyFont="1" applyFill="1" applyBorder="1" applyAlignment="1">
      <alignment horizontal="center"/>
    </xf>
    <xf numFmtId="0" fontId="22" fillId="2" borderId="70" xfId="6" applyFont="1" applyFill="1" applyBorder="1" applyAlignment="1">
      <alignment horizontal="center" vertical="center"/>
    </xf>
    <xf numFmtId="0" fontId="22" fillId="2" borderId="71" xfId="6" applyFont="1" applyFill="1" applyBorder="1" applyAlignment="1">
      <alignment horizontal="center" vertical="center"/>
    </xf>
    <xf numFmtId="0" fontId="22" fillId="2" borderId="72" xfId="6" applyFont="1" applyFill="1" applyBorder="1" applyAlignment="1">
      <alignment horizontal="center" vertical="center"/>
    </xf>
    <xf numFmtId="0" fontId="12" fillId="0" borderId="0" xfId="6" applyFont="1" applyBorder="1" applyAlignment="1">
      <alignment horizontal="center"/>
    </xf>
    <xf numFmtId="0" fontId="22" fillId="3" borderId="78" xfId="6" applyFont="1" applyFill="1" applyBorder="1" applyAlignment="1">
      <alignment horizontal="center" vertical="center"/>
    </xf>
    <xf numFmtId="0" fontId="22" fillId="3" borderId="79" xfId="6" applyFont="1" applyFill="1" applyBorder="1" applyAlignment="1">
      <alignment horizontal="center" vertical="center"/>
    </xf>
    <xf numFmtId="0" fontId="22" fillId="3" borderId="80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1" fillId="0" borderId="5" xfId="6" applyFont="1" applyBorder="1" applyAlignment="1">
      <alignment horizontal="center" vertical="center"/>
    </xf>
    <xf numFmtId="0" fontId="11" fillId="0" borderId="29" xfId="6" applyFont="1" applyBorder="1" applyAlignment="1">
      <alignment horizontal="center" vertical="center"/>
    </xf>
    <xf numFmtId="0" fontId="10" fillId="0" borderId="2" xfId="6" applyFont="1" applyBorder="1" applyAlignment="1">
      <alignment horizontal="left"/>
    </xf>
    <xf numFmtId="0" fontId="10" fillId="0" borderId="0" xfId="6" applyFont="1" applyBorder="1" applyAlignment="1">
      <alignment horizontal="left"/>
    </xf>
    <xf numFmtId="0" fontId="10" fillId="0" borderId="6" xfId="6" applyFont="1" applyBorder="1" applyAlignment="1">
      <alignment horizontal="left"/>
    </xf>
    <xf numFmtId="0" fontId="10" fillId="0" borderId="0" xfId="6" applyFont="1" applyBorder="1" applyAlignment="1">
      <alignment horizontal="center" vertical="center"/>
    </xf>
    <xf numFmtId="0" fontId="11" fillId="0" borderId="0" xfId="6" applyFont="1" applyBorder="1" applyAlignment="1">
      <alignment horizontal="center" vertical="center"/>
    </xf>
    <xf numFmtId="0" fontId="3" fillId="0" borderId="0" xfId="2" applyAlignment="1"/>
    <xf numFmtId="0" fontId="12" fillId="0" borderId="0" xfId="6" applyFont="1" applyBorder="1" applyAlignment="1">
      <alignment horizontal="center" vertical="center"/>
    </xf>
    <xf numFmtId="0" fontId="16" fillId="2" borderId="52" xfId="6" applyFont="1" applyFill="1" applyBorder="1" applyAlignment="1">
      <alignment horizontal="center"/>
    </xf>
    <xf numFmtId="0" fontId="16" fillId="2" borderId="53" xfId="6" applyFont="1" applyFill="1" applyBorder="1" applyAlignment="1">
      <alignment horizontal="center"/>
    </xf>
    <xf numFmtId="0" fontId="16" fillId="2" borderId="54" xfId="6" applyFont="1" applyFill="1" applyBorder="1" applyAlignment="1">
      <alignment horizontal="center"/>
    </xf>
    <xf numFmtId="0" fontId="10" fillId="0" borderId="0" xfId="6" applyFont="1" applyBorder="1" applyAlignment="1"/>
    <xf numFmtId="0" fontId="3" fillId="0" borderId="0" xfId="2" applyFont="1" applyAlignment="1"/>
    <xf numFmtId="0" fontId="15" fillId="2" borderId="46" xfId="6" applyFont="1" applyFill="1" applyBorder="1" applyAlignment="1">
      <alignment horizontal="left" vertical="center"/>
    </xf>
    <xf numFmtId="0" fontId="15" fillId="2" borderId="47" xfId="6" applyFont="1" applyFill="1" applyBorder="1" applyAlignment="1">
      <alignment horizontal="left" vertical="center"/>
    </xf>
    <xf numFmtId="0" fontId="15" fillId="2" borderId="25" xfId="6" applyFont="1" applyFill="1" applyBorder="1" applyAlignment="1">
      <alignment horizontal="left" vertical="center"/>
    </xf>
    <xf numFmtId="0" fontId="22" fillId="3" borderId="70" xfId="6" applyFont="1" applyFill="1" applyBorder="1" applyAlignment="1">
      <alignment horizontal="center" vertical="center"/>
    </xf>
    <xf numFmtId="0" fontId="22" fillId="3" borderId="71" xfId="6" applyFont="1" applyFill="1" applyBorder="1" applyAlignment="1">
      <alignment horizontal="center" vertical="center"/>
    </xf>
    <xf numFmtId="0" fontId="22" fillId="3" borderId="72" xfId="6" applyFont="1" applyFill="1" applyBorder="1" applyAlignment="1">
      <alignment horizontal="center" vertical="center"/>
    </xf>
    <xf numFmtId="0" fontId="16" fillId="2" borderId="70" xfId="6" applyFont="1" applyFill="1" applyBorder="1" applyAlignment="1">
      <alignment horizontal="left"/>
    </xf>
    <xf numFmtId="0" fontId="16" fillId="2" borderId="71" xfId="6" applyFont="1" applyFill="1" applyBorder="1" applyAlignment="1">
      <alignment horizontal="left"/>
    </xf>
    <xf numFmtId="0" fontId="16" fillId="2" borderId="72" xfId="6" applyFont="1" applyFill="1" applyBorder="1" applyAlignment="1">
      <alignment horizontal="left"/>
    </xf>
    <xf numFmtId="0" fontId="16" fillId="2" borderId="63" xfId="6" applyFont="1" applyFill="1" applyBorder="1" applyAlignment="1">
      <alignment horizontal="center" vertical="center"/>
    </xf>
    <xf numFmtId="0" fontId="16" fillId="2" borderId="64" xfId="6" applyFont="1" applyFill="1" applyBorder="1" applyAlignment="1">
      <alignment horizontal="center" vertical="center"/>
    </xf>
    <xf numFmtId="0" fontId="16" fillId="2" borderId="67" xfId="6" applyFont="1" applyFill="1" applyBorder="1" applyAlignment="1">
      <alignment horizontal="center" vertical="center"/>
    </xf>
    <xf numFmtId="0" fontId="16" fillId="2" borderId="12" xfId="6" applyFont="1" applyFill="1" applyBorder="1" applyAlignment="1">
      <alignment horizontal="center" vertical="center"/>
    </xf>
    <xf numFmtId="0" fontId="22" fillId="2" borderId="78" xfId="6" applyFont="1" applyFill="1" applyBorder="1" applyAlignment="1">
      <alignment horizontal="center" vertical="center"/>
    </xf>
    <xf numFmtId="0" fontId="22" fillId="2" borderId="79" xfId="6" applyFont="1" applyFill="1" applyBorder="1" applyAlignment="1">
      <alignment horizontal="center" vertical="center"/>
    </xf>
    <xf numFmtId="0" fontId="22" fillId="2" borderId="80" xfId="6" applyFont="1" applyFill="1" applyBorder="1" applyAlignment="1">
      <alignment horizontal="center" vertical="center"/>
    </xf>
    <xf numFmtId="0" fontId="22" fillId="2" borderId="81" xfId="6" applyFont="1" applyFill="1" applyBorder="1" applyAlignment="1">
      <alignment horizontal="center" vertical="center"/>
    </xf>
    <xf numFmtId="0" fontId="22" fillId="2" borderId="47" xfId="6" applyFont="1" applyFill="1" applyBorder="1" applyAlignment="1">
      <alignment horizontal="center" vertical="center"/>
    </xf>
    <xf numFmtId="0" fontId="22" fillId="2" borderId="82" xfId="6" applyFont="1" applyFill="1" applyBorder="1" applyAlignment="1">
      <alignment horizontal="center" vertical="center"/>
    </xf>
    <xf numFmtId="0" fontId="0" fillId="2" borderId="39" xfId="0" applyFill="1" applyBorder="1" applyAlignment="1">
      <alignment horizontal="center" vertical="center" wrapText="1"/>
    </xf>
    <xf numFmtId="0" fontId="0" fillId="2" borderId="42" xfId="0" applyFill="1" applyBorder="1" applyAlignment="1">
      <alignment horizontal="center" vertical="center" wrapText="1"/>
    </xf>
    <xf numFmtId="0" fontId="0" fillId="2" borderId="28" xfId="0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left"/>
    </xf>
    <xf numFmtId="0" fontId="2" fillId="2" borderId="6" xfId="0" applyFont="1" applyFill="1" applyBorder="1" applyAlignment="1">
      <alignment horizontal="left"/>
    </xf>
    <xf numFmtId="0" fontId="1" fillId="2" borderId="16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0" fillId="2" borderId="32" xfId="0" applyFill="1" applyBorder="1" applyAlignment="1">
      <alignment horizontal="center" vertical="center" wrapText="1"/>
    </xf>
    <xf numFmtId="0" fontId="0" fillId="2" borderId="35" xfId="0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 wrapText="1"/>
    </xf>
    <xf numFmtId="0" fontId="0" fillId="2" borderId="73" xfId="0" applyFill="1" applyBorder="1" applyAlignment="1">
      <alignment horizontal="center" vertical="center"/>
    </xf>
    <xf numFmtId="0" fontId="0" fillId="2" borderId="43" xfId="0" applyFill="1" applyBorder="1" applyAlignment="1">
      <alignment horizontal="center" vertical="center"/>
    </xf>
    <xf numFmtId="0" fontId="0" fillId="2" borderId="7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 wrapText="1"/>
    </xf>
    <xf numFmtId="0" fontId="0" fillId="2" borderId="38" xfId="0" applyFill="1" applyBorder="1" applyAlignment="1">
      <alignment horizontal="center" vertical="center" wrapText="1"/>
    </xf>
    <xf numFmtId="0" fontId="0" fillId="2" borderId="37" xfId="0" applyFill="1" applyBorder="1" applyAlignment="1">
      <alignment horizontal="center" vertical="center" wrapText="1"/>
    </xf>
    <xf numFmtId="0" fontId="0" fillId="2" borderId="75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76" xfId="0" applyFill="1" applyBorder="1" applyAlignment="1">
      <alignment horizontal="center" vertical="center" wrapText="1"/>
    </xf>
    <xf numFmtId="166" fontId="2" fillId="2" borderId="46" xfId="0" applyNumberFormat="1" applyFont="1" applyFill="1" applyBorder="1" applyAlignment="1">
      <alignment horizontal="center" vertical="center"/>
    </xf>
    <xf numFmtId="166" fontId="2" fillId="2" borderId="47" xfId="0" applyNumberFormat="1" applyFont="1" applyFill="1" applyBorder="1" applyAlignment="1">
      <alignment horizontal="center" vertical="center"/>
    </xf>
    <xf numFmtId="166" fontId="2" fillId="2" borderId="25" xfId="0" applyNumberFormat="1" applyFont="1" applyFill="1" applyBorder="1" applyAlignment="1">
      <alignment horizontal="center" vertical="center"/>
    </xf>
    <xf numFmtId="0" fontId="2" fillId="2" borderId="41" xfId="0" applyFont="1" applyFill="1" applyBorder="1" applyAlignment="1">
      <alignment horizontal="left" vertical="center"/>
    </xf>
    <xf numFmtId="0" fontId="2" fillId="2" borderId="45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2" fontId="2" fillId="2" borderId="44" xfId="0" applyNumberFormat="1" applyFont="1" applyFill="1" applyBorder="1" applyAlignment="1">
      <alignment horizontal="center" vertical="center"/>
    </xf>
    <xf numFmtId="2" fontId="2" fillId="2" borderId="26" xfId="0" applyNumberFormat="1" applyFont="1" applyFill="1" applyBorder="1" applyAlignment="1">
      <alignment horizontal="center" vertical="center"/>
    </xf>
    <xf numFmtId="0" fontId="6" fillId="2" borderId="36" xfId="0" applyFont="1" applyFill="1" applyBorder="1" applyAlignment="1">
      <alignment horizontal="center" vertical="center" textRotation="90" wrapText="1"/>
    </xf>
    <xf numFmtId="0" fontId="6" fillId="2" borderId="38" xfId="0" applyFont="1" applyFill="1" applyBorder="1" applyAlignment="1">
      <alignment horizontal="center" vertical="center" textRotation="90" wrapText="1"/>
    </xf>
    <xf numFmtId="165" fontId="3" fillId="2" borderId="36" xfId="5" applyNumberFormat="1" applyFont="1" applyFill="1" applyBorder="1" applyAlignment="1" applyProtection="1">
      <alignment horizontal="center" vertical="center" wrapText="1" shrinkToFit="1"/>
      <protection locked="0"/>
    </xf>
    <xf numFmtId="165" fontId="3" fillId="2" borderId="38" xfId="5" applyNumberFormat="1" applyFont="1" applyFill="1" applyBorder="1" applyAlignment="1" applyProtection="1">
      <alignment horizontal="center" vertical="center" wrapText="1" shrinkToFit="1"/>
      <protection locked="0"/>
    </xf>
    <xf numFmtId="165" fontId="3" fillId="2" borderId="37" xfId="5" applyNumberFormat="1" applyFont="1" applyFill="1" applyBorder="1" applyAlignment="1" applyProtection="1">
      <alignment horizontal="center" vertical="center" wrapText="1" shrinkToFit="1"/>
      <protection locked="0"/>
    </xf>
    <xf numFmtId="0" fontId="3" fillId="2" borderId="3" xfId="0" applyFont="1" applyFill="1" applyBorder="1" applyAlignment="1">
      <alignment horizontal="center" vertical="center" wrapText="1"/>
    </xf>
    <xf numFmtId="0" fontId="3" fillId="2" borderId="42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 wrapText="1"/>
    </xf>
    <xf numFmtId="0" fontId="0" fillId="2" borderId="73" xfId="0" applyFill="1" applyBorder="1" applyAlignment="1">
      <alignment horizontal="center" vertical="center" wrapText="1"/>
    </xf>
    <xf numFmtId="0" fontId="0" fillId="2" borderId="43" xfId="0" applyFill="1" applyBorder="1" applyAlignment="1">
      <alignment horizontal="center" vertical="center" wrapText="1"/>
    </xf>
    <xf numFmtId="0" fontId="0" fillId="2" borderId="74" xfId="0" applyFill="1" applyBorder="1" applyAlignment="1">
      <alignment horizontal="center" vertical="center" wrapText="1"/>
    </xf>
    <xf numFmtId="0" fontId="0" fillId="2" borderId="34" xfId="0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left" vertical="center"/>
    </xf>
    <xf numFmtId="0" fontId="2" fillId="2" borderId="35" xfId="0" applyFont="1" applyFill="1" applyBorder="1" applyAlignment="1">
      <alignment horizontal="left" vertical="center"/>
    </xf>
    <xf numFmtId="0" fontId="2" fillId="2" borderId="24" xfId="0" applyFont="1" applyFill="1" applyBorder="1" applyAlignment="1">
      <alignment horizontal="left" vertical="center"/>
    </xf>
    <xf numFmtId="0" fontId="2" fillId="2" borderId="30" xfId="0" applyFont="1" applyFill="1" applyBorder="1" applyAlignment="1">
      <alignment horizontal="left" vertical="center"/>
    </xf>
    <xf numFmtId="0" fontId="2" fillId="2" borderId="47" xfId="0" applyFont="1" applyFill="1" applyBorder="1" applyAlignment="1">
      <alignment horizontal="left" vertical="center"/>
    </xf>
    <xf numFmtId="0" fontId="2" fillId="2" borderId="25" xfId="0" applyFont="1" applyFill="1" applyBorder="1" applyAlignment="1">
      <alignment horizontal="left" vertical="center"/>
    </xf>
    <xf numFmtId="0" fontId="5" fillId="2" borderId="39" xfId="0" applyFont="1" applyFill="1" applyBorder="1" applyAlignment="1">
      <alignment horizontal="center" vertical="center"/>
    </xf>
    <xf numFmtId="0" fontId="5" fillId="2" borderId="42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166" fontId="5" fillId="2" borderId="39" xfId="0" applyNumberFormat="1" applyFont="1" applyFill="1" applyBorder="1" applyAlignment="1">
      <alignment horizontal="center" vertical="center"/>
    </xf>
    <xf numFmtId="166" fontId="5" fillId="2" borderId="42" xfId="0" applyNumberFormat="1" applyFont="1" applyFill="1" applyBorder="1" applyAlignment="1">
      <alignment horizontal="center" vertical="center"/>
    </xf>
    <xf numFmtId="166" fontId="5" fillId="2" borderId="28" xfId="0" applyNumberFormat="1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  <xf numFmtId="0" fontId="3" fillId="2" borderId="42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3" fontId="5" fillId="2" borderId="39" xfId="0" applyNumberFormat="1" applyFont="1" applyFill="1" applyBorder="1" applyAlignment="1">
      <alignment horizontal="center" vertical="center"/>
    </xf>
    <xf numFmtId="3" fontId="5" fillId="2" borderId="42" xfId="0" applyNumberFormat="1" applyFont="1" applyFill="1" applyBorder="1" applyAlignment="1">
      <alignment horizontal="center" vertical="center"/>
    </xf>
    <xf numFmtId="3" fontId="5" fillId="2" borderId="28" xfId="0" applyNumberFormat="1" applyFont="1" applyFill="1" applyBorder="1" applyAlignment="1">
      <alignment horizontal="center" vertical="center"/>
    </xf>
    <xf numFmtId="2" fontId="2" fillId="2" borderId="46" xfId="0" applyNumberFormat="1" applyFont="1" applyFill="1" applyBorder="1" applyAlignment="1">
      <alignment horizontal="center" vertical="center"/>
    </xf>
    <xf numFmtId="2" fontId="2" fillId="2" borderId="47" xfId="0" applyNumberFormat="1" applyFont="1" applyFill="1" applyBorder="1" applyAlignment="1">
      <alignment horizontal="center" vertical="center"/>
    </xf>
    <xf numFmtId="2" fontId="2" fillId="2" borderId="25" xfId="0" applyNumberFormat="1" applyFont="1" applyFill="1" applyBorder="1" applyAlignment="1">
      <alignment horizontal="center" vertical="center"/>
    </xf>
    <xf numFmtId="166" fontId="3" fillId="2" borderId="39" xfId="0" applyNumberFormat="1" applyFont="1" applyFill="1" applyBorder="1" applyAlignment="1">
      <alignment horizontal="center" vertical="center"/>
    </xf>
    <xf numFmtId="166" fontId="3" fillId="2" borderId="42" xfId="0" applyNumberFormat="1" applyFont="1" applyFill="1" applyBorder="1" applyAlignment="1">
      <alignment horizontal="center" vertical="center"/>
    </xf>
    <xf numFmtId="166" fontId="3" fillId="2" borderId="28" xfId="0" applyNumberFormat="1" applyFont="1" applyFill="1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0" fontId="0" fillId="2" borderId="42" xfId="0" applyFill="1" applyBorder="1" applyAlignment="1">
      <alignment horizontal="center" vertical="center"/>
    </xf>
    <xf numFmtId="164" fontId="3" fillId="2" borderId="39" xfId="8" applyFont="1" applyFill="1" applyBorder="1" applyAlignment="1">
      <alignment horizontal="center" vertical="center"/>
    </xf>
    <xf numFmtId="164" fontId="3" fillId="2" borderId="42" xfId="8" applyFont="1" applyFill="1" applyBorder="1" applyAlignment="1">
      <alignment horizontal="center" vertical="center"/>
    </xf>
    <xf numFmtId="164" fontId="3" fillId="2" borderId="28" xfId="8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166" fontId="5" fillId="2" borderId="13" xfId="0" applyNumberFormat="1" applyFont="1" applyFill="1" applyBorder="1" applyAlignment="1">
      <alignment horizontal="center" vertical="center"/>
    </xf>
    <xf numFmtId="0" fontId="3" fillId="2" borderId="46" xfId="0" applyFont="1" applyFill="1" applyBorder="1" applyAlignment="1">
      <alignment horizontal="center" vertical="center" wrapText="1"/>
    </xf>
    <xf numFmtId="0" fontId="3" fillId="2" borderId="47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</cellXfs>
  <cellStyles count="9">
    <cellStyle name="Comma" xfId="8" builtinId="3"/>
    <cellStyle name="Normal" xfId="0" builtinId="0"/>
    <cellStyle name="Normal 2" xfId="1"/>
    <cellStyle name="Normal 2 2" xfId="2"/>
    <cellStyle name="Normal 3" xfId="3"/>
    <cellStyle name="Normal 6" xfId="4"/>
    <cellStyle name="Normal_FD128" xfId="5"/>
    <cellStyle name="Normal_MDB-11 FOR DEWA" xfId="7"/>
    <cellStyle name="Normal_SMDB-G-02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26" Type="http://schemas.openxmlformats.org/officeDocument/2006/relationships/externalLink" Target="externalLinks/externalLink20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5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14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24" Type="http://schemas.openxmlformats.org/officeDocument/2006/relationships/externalLink" Target="externalLinks/externalLink18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theme" Target="theme/theme1.xml"/><Relationship Id="rId10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3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30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vivek\Desktop\DMMH%20LOAD%20SCHD\LOAD%20SCHD\SB&amp;MB\DEWA%20LOAD%20SCHD\MSB-M-1%20TO%2012\MSB-M-11\SBE-MG-G-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llol\e\Documents%20and%20Settings\vivek\Desktop\DMMH%20LOAD%20SCHD\LOAD%20SCHD\SB&amp;MB\DEWA%20LOAD%20SCHD\MSB-M-1%20TO%2012\MSB-M-11\SBE-MG-G-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MM\Drawings\MEP\Design\Calculation\ELEC\active\contractor%20issuance%20(latest)\Load%20Study%20(Richie)\Load%20Schedule%20MSB-H-3%20(IFC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llol\e\Documents%20and%20Settings\Administrator\Desktop\LOAD%20SCHDrevised-04-02-07\CALC%20DEWA%20SUBMISSION\Load%20Schedule%20MSB-H-4%20(IFC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Administrator\Desktop\LOAD%20SCHDrevised-04-02-07\CALC%20DEWA%20SUBMISSION\Load%20Schedule%20MSB-H-4%20(IFC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MM\Drawings\MEP\Design\Calculation\ELEC\active\contractor%20issuance%20(latest)\Load%20Study%20(Richie)\Load%20Schedule%20MSB-M-7&amp;8%20(IFC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llol\e\Documents%20and%20Settings\vivek\Desktop\DMMH%20LOAD%20SCHD\LOAD%20SCHD\SB&amp;MB\DEWA%20LOAD%20SCHD\MSB-M-1%20TO%2012\MSB-M-11\SB-MC-LG-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llol\e\Documents%20and%20Settings\Administrator\Desktop\LOAD%20SCHDrevised-04-02-07\CALC%20DEWA%20SUBMISSION\Load%20Schedule%20MSB-M-9&amp;10%20(for%20review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llol\e\Documents%20and%20Settings\vivek\Desktop\DMMH%20LOAD%20SCHD\LOAD%20SCHD\SB&amp;MB\DEWA%20LOAD%20SCHD\MSB-M-1%20TO%2012\MSB-M-11\SBE-MC-LGM-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vivek\Desktop\DMMH%20LOAD%20SCHD\LOAD%20SCHD\SB&amp;MB\DEWA%20LOAD%20SCHD\MSB-M-1%20TO%2012\MSB-M-11\SB-MC-LG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llol\e\Documents%20and%20Settings\Administrator\Desktop\LOAD%20SCHDrevised-04-02-07\CALC%20DEWA%20SUBMISSION\Load%20Schedule%20MSB-H-3%20(for%20review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Administrator\Desktop\LOAD%20SCHDrevised-04-02-07\CALC%20DEWA%20SUBMISSION\Load%20Schedule%20MSB-M-9&amp;10%20(for%20review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vivek\Desktop\DMMH%20LOAD%20SCHD\LOAD%20SCHD\SB&amp;MB\DEWA%20LOAD%20SCHD\MSB-M-1%20TO%2012\MSB-M-11\SBE-MC-LGM-3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llol\e\Documents%20and%20Settings\Administrator\Desktop\LOAD%20SCHDrevised-04-02-07\CALC%20DEWA%20SUBMISSION\Copy%20of%20Load%20Schedule%20MSB-H-5%20(IFC)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Administrator\Desktop\LOAD%20SCHDrevised-04-02-07\CALC%20DEWA%20SUBMISSION\Load%20Schedule%20MSB-H-3%20(for%20review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Administrator\Desktop\LOAD%20SCHDrevised-04-02-07\CALC%20DEWA%20SUBMISSION\Copy%20of%20Load%20Schedule%20MSB-H-5%20(IFC)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MM\Drawings\MEP\Design\Calculation\ELEC\active\contractor%20issuance%20(latest)\Revision%205%20(From%20Load%20Study%20Folder)\Load%20Schedule%20MSB-M-9&amp;10%20(IFC)_3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llol\e\DMM\Drawings\MEP\Design\Calculation\ELEC\active\contractor%20issuance%20(latest)\Load%20Study%20(Richie)\Load%20Schedule%20MSB-M-7&amp;8%20(IFC)_3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MM\Drawings\MEP\Design\Calculation\ELEC\active\contractor%20issuance%20(latest)\Revision%205%20(From%20Load%20Study%20Folder)\Load%20Schedule%20MSB-M-7&amp;8%20(IFC)_3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MM\Drawings\MEP\Design\Calculation\ELEC\active\contractor%20issuance%20(latest)\Load%20Study%20(Richie)\Load%20Schedule%20MSB-M-7&amp;8%20(IFC)_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MM\Drawings\MEP\Design\Calculation\ELEC\active\contractor%20issuance%20(latest)\Revision%205%20(From%20Load%20Study%20Folder)\Load%20Schedule%20MSB-H-3%20(IFC)_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E-MG-G-1"/>
      <sheetName val="LMCP_AHU_GT_LGM_1"/>
      <sheetName val="LMCP_SPF_GT_RD_1"/>
      <sheetName val="LMCP_SEF_GT_RD_2"/>
      <sheetName val="LMCP_SEF_GT_RD_1"/>
      <sheetName val="MCPE_MG_R_1"/>
      <sheetName val="LMCP_LPF_GT_GM_1"/>
      <sheetName val="SBE_MG_G_1"/>
      <sheetName val="Sheet1"/>
      <sheetName val="Sheet2"/>
      <sheetName val="Sheet3"/>
    </sheetNames>
    <sheetDataSet>
      <sheetData sheetId="0"/>
      <sheetData sheetId="1">
        <row r="1">
          <cell r="A1" t="str">
            <v>PROJECT: DUBAI MARINA MALL &amp; HOTEL APARTMENTS</v>
          </cell>
          <cell r="I1" t="str">
            <v>DETAILS OF CONNECTED LOAD/ MAX. DEMAND</v>
          </cell>
        </row>
        <row r="2">
          <cell r="I2" t="str">
            <v>OWNER:</v>
          </cell>
          <cell r="J2" t="str">
            <v>EMAAR PROPERTIES PSJC</v>
          </cell>
          <cell r="O2" t="str">
            <v>AREA:</v>
          </cell>
          <cell r="Q2" t="str">
            <v>DUBAI,UNITED ARAB EMIRATES</v>
          </cell>
        </row>
        <row r="3">
          <cell r="E3" t="str">
            <v xml:space="preserve"> </v>
          </cell>
          <cell r="O3" t="str">
            <v xml:space="preserve"> LOCATION OF MCP: </v>
          </cell>
          <cell r="R3" t="str">
            <v>LOWER GORUND MEZZ.</v>
          </cell>
        </row>
        <row r="4">
          <cell r="A4" t="str">
            <v xml:space="preserve">MDB / SMDB </v>
          </cell>
          <cell r="B4" t="str">
            <v>LMCP-AHU-GT-LGM-1</v>
          </cell>
          <cell r="I4" t="str">
            <v>CONSULTANT:MEINHARDT SINGAPORE PTE LTD.</v>
          </cell>
        </row>
        <row r="6">
          <cell r="A6" t="str">
            <v>CIRCUIT/</v>
          </cell>
          <cell r="B6" t="str">
            <v>SP/</v>
          </cell>
          <cell r="C6" t="str">
            <v>RATING - AMPS</v>
          </cell>
          <cell r="F6" t="str">
            <v>Isc FAULT</v>
          </cell>
          <cell r="G6" t="str">
            <v>FR or
XLPE</v>
          </cell>
          <cell r="H6" t="str">
            <v>CABLE SIZE</v>
          </cell>
          <cell r="J6" t="str">
            <v>ECC
SIZE-</v>
          </cell>
          <cell r="K6" t="str">
            <v>CONNECTED LOAD - KW</v>
          </cell>
          <cell r="N6" t="str">
            <v>PROPOSED TYPE &amp; NO. OF
KWH METERS</v>
          </cell>
        </row>
        <row r="7">
          <cell r="A7" t="str">
            <v>FEEDER
DB No.</v>
          </cell>
          <cell r="B7" t="str">
            <v>TP</v>
          </cell>
          <cell r="C7" t="str">
            <v>F/S
ISO</v>
          </cell>
          <cell r="D7" t="str">
            <v>MCCB</v>
          </cell>
          <cell r="E7" t="str">
            <v>MCB</v>
          </cell>
          <cell r="F7" t="str">
            <v>DUTY
KA</v>
          </cell>
          <cell r="G7" t="str">
            <v>SWA/
LS0H</v>
          </cell>
          <cell r="H7" t="str">
            <v>2/4 X1C
mm^2</v>
          </cell>
          <cell r="I7" t="str">
            <v>2/3/4C
mm^2</v>
          </cell>
          <cell r="J7" t="str">
            <v>1c
mm^2</v>
          </cell>
          <cell r="K7" t="str">
            <v>R-PH
KW</v>
          </cell>
          <cell r="L7" t="str">
            <v>Y-PH
KW</v>
          </cell>
          <cell r="M7" t="str">
            <v>B-PH
KW</v>
          </cell>
          <cell r="N7" t="str">
            <v>1 - PH
(1)</v>
          </cell>
          <cell r="O7" t="str">
            <v>3 - PH
(2)</v>
          </cell>
          <cell r="P7" t="str">
            <v>3 - PH
(3)</v>
          </cell>
          <cell r="Q7" t="str">
            <v>LV/H
CT (4)</v>
          </cell>
          <cell r="R7" t="str">
            <v>REMARKS</v>
          </cell>
        </row>
        <row r="8">
          <cell r="A8" t="str">
            <v>INCOMER (NON AUTO)</v>
          </cell>
          <cell r="B8" t="str">
            <v>TP</v>
          </cell>
          <cell r="D8">
            <v>60</v>
          </cell>
          <cell r="F8">
            <v>36</v>
          </cell>
          <cell r="G8" t="str">
            <v>XLPE/SWA/LSOH</v>
          </cell>
          <cell r="I8" t="str">
            <v>4c 16</v>
          </cell>
          <cell r="J8" t="str">
            <v>1c 16</v>
          </cell>
          <cell r="K8">
            <v>5.5</v>
          </cell>
          <cell r="L8">
            <v>5</v>
          </cell>
          <cell r="M8">
            <v>5</v>
          </cell>
        </row>
        <row r="9">
          <cell r="A9" t="str">
            <v>OUTGOING</v>
          </cell>
        </row>
        <row r="10">
          <cell r="A10" t="str">
            <v>AHU-GT-LGM-1</v>
          </cell>
          <cell r="B10" t="str">
            <v>TP</v>
          </cell>
          <cell r="D10">
            <v>50</v>
          </cell>
          <cell r="F10">
            <v>36</v>
          </cell>
          <cell r="G10" t="str">
            <v>XLPE/SWA/LSOH</v>
          </cell>
          <cell r="I10" t="str">
            <v>2x4c 10</v>
          </cell>
          <cell r="J10" t="str">
            <v>1c 10</v>
          </cell>
          <cell r="K10">
            <v>5</v>
          </cell>
          <cell r="L10">
            <v>5</v>
          </cell>
          <cell r="M10">
            <v>5</v>
          </cell>
          <cell r="R10" t="str">
            <v>100mA ELCB + DOL STARTER</v>
          </cell>
        </row>
        <row r="11">
          <cell r="A11" t="str">
            <v>CONTROLS</v>
          </cell>
          <cell r="B11" t="str">
            <v>SP</v>
          </cell>
          <cell r="D11">
            <v>10</v>
          </cell>
          <cell r="F11">
            <v>22</v>
          </cell>
          <cell r="G11" t="str">
            <v>XLPE/SWA/LSOH</v>
          </cell>
          <cell r="I11" t="str">
            <v>2x4c 4</v>
          </cell>
          <cell r="K11">
            <v>0.5</v>
          </cell>
        </row>
        <row r="22">
          <cell r="A22" t="str">
            <v xml:space="preserve"> </v>
          </cell>
        </row>
        <row r="23">
          <cell r="A23" t="str">
            <v>CONNECTED TO :</v>
          </cell>
          <cell r="B23" t="str">
            <v>SBE-MG-G-1</v>
          </cell>
          <cell r="F23" t="str">
            <v>TOTAL CONNECTED LOAD PER PHASE</v>
          </cell>
          <cell r="K23">
            <v>5.5</v>
          </cell>
          <cell r="L23">
            <v>5</v>
          </cell>
          <cell r="M23">
            <v>5</v>
          </cell>
          <cell r="R23" t="str">
            <v>TOTAL</v>
          </cell>
        </row>
        <row r="26">
          <cell r="A26" t="str">
            <v xml:space="preserve">MAX. DEMAND (3 PH.):   </v>
          </cell>
          <cell r="B26">
            <v>15.5</v>
          </cell>
          <cell r="C26" t="str">
            <v>kW</v>
          </cell>
          <cell r="D26" t="str">
            <v xml:space="preserve">AT </v>
          </cell>
          <cell r="E26">
            <v>1</v>
          </cell>
          <cell r="F26" t="str">
            <v>DIVERSITY</v>
          </cell>
          <cell r="J26" t="str">
            <v xml:space="preserve">TOTAL CONNECTED LOAD(3 PH)   </v>
          </cell>
          <cell r="N26">
            <v>15.5</v>
          </cell>
          <cell r="O26" t="str">
            <v>kW</v>
          </cell>
        </row>
        <row r="29">
          <cell r="A29" t="str">
            <v>CONTRACTOR:</v>
          </cell>
          <cell r="K29" t="str">
            <v xml:space="preserve">TEL: </v>
          </cell>
          <cell r="O29" t="str">
            <v xml:space="preserve">FAX: </v>
          </cell>
        </row>
        <row r="31">
          <cell r="A31" t="str">
            <v>Type of Meter (Rating of Incomer):</v>
          </cell>
          <cell r="F31" t="str">
            <v>(1)  Upto 60A</v>
          </cell>
          <cell r="H31" t="str">
            <v>(2)  Upto 100 A</v>
          </cell>
          <cell r="K31" t="str">
            <v>(3)  125 - 160 A</v>
          </cell>
          <cell r="M31" t="str">
            <v>(4)  LV CT ..2500/5.......A</v>
          </cell>
          <cell r="Q31" t="str">
            <v>HV  CT .........../..........A</v>
          </cell>
        </row>
        <row r="32">
          <cell r="F32" t="str">
            <v xml:space="preserve">       (1 Phase)</v>
          </cell>
          <cell r="H32" t="str">
            <v xml:space="preserve">       (3 Phase)</v>
          </cell>
          <cell r="K32" t="str">
            <v xml:space="preserve">       </v>
          </cell>
        </row>
      </sheetData>
      <sheetData sheetId="2">
        <row r="1">
          <cell r="A1" t="str">
            <v>PROJECT: DUBAI MARINA MALL &amp; HOTEL/APARTMENTS</v>
          </cell>
          <cell r="I1" t="str">
            <v>DETAILS OF CONNECTED LOAD/ MAX. DEMAND</v>
          </cell>
        </row>
        <row r="2">
          <cell r="I2" t="str">
            <v>OWNER:</v>
          </cell>
          <cell r="J2" t="str">
            <v>EMAAR PROPERTIES PSJC</v>
          </cell>
          <cell r="O2" t="str">
            <v>AREA:</v>
          </cell>
          <cell r="Q2" t="str">
            <v>DUBAI,UNITED ARAB EMIRATES</v>
          </cell>
        </row>
        <row r="3">
          <cell r="E3" t="str">
            <v xml:space="preserve"> </v>
          </cell>
          <cell r="O3" t="str">
            <v xml:space="preserve"> LOCATION OF MCP: </v>
          </cell>
          <cell r="R3" t="str">
            <v>ROOF DECK (GOURMET TOWER)</v>
          </cell>
        </row>
        <row r="4">
          <cell r="A4" t="str">
            <v xml:space="preserve">MDB / SMDB </v>
          </cell>
          <cell r="B4" t="str">
            <v xml:space="preserve">LMCP-SPF-GT-RD-1 </v>
          </cell>
          <cell r="I4" t="str">
            <v>CONSULTANT:MEINHARDT SINGAPORE PTE LTD.</v>
          </cell>
        </row>
        <row r="6">
          <cell r="A6" t="str">
            <v>CIRCUIT/</v>
          </cell>
          <cell r="B6" t="str">
            <v>SP/</v>
          </cell>
          <cell r="C6" t="str">
            <v>RATING - AMPS</v>
          </cell>
          <cell r="F6" t="str">
            <v>Isc FAULT</v>
          </cell>
          <cell r="G6" t="str">
            <v>FR or
XLPE</v>
          </cell>
          <cell r="H6" t="str">
            <v>CABLE SIZE</v>
          </cell>
          <cell r="J6" t="str">
            <v>ECC
SIZE-</v>
          </cell>
          <cell r="K6" t="str">
            <v>CONNECTED LOAD - KW</v>
          </cell>
          <cell r="N6" t="str">
            <v>PROPOSED TYPE &amp; NO. OF
KWH METERS</v>
          </cell>
        </row>
        <row r="7">
          <cell r="A7" t="str">
            <v>FEEDER
DB No.</v>
          </cell>
          <cell r="B7" t="str">
            <v>TP</v>
          </cell>
          <cell r="C7" t="str">
            <v>F/S
ISO</v>
          </cell>
          <cell r="D7" t="str">
            <v>MCCB</v>
          </cell>
          <cell r="E7" t="str">
            <v>MCB</v>
          </cell>
          <cell r="F7" t="str">
            <v>DUTY
KA</v>
          </cell>
          <cell r="G7" t="str">
            <v>SWA/
LS0H</v>
          </cell>
          <cell r="H7" t="str">
            <v>2/4 X1C
mm^2</v>
          </cell>
          <cell r="I7" t="str">
            <v>2/3/4C
mm^2</v>
          </cell>
          <cell r="J7" t="str">
            <v>1c
mm^2</v>
          </cell>
          <cell r="K7" t="str">
            <v>R-PH
KW</v>
          </cell>
          <cell r="L7" t="str">
            <v>Y-PH
KW</v>
          </cell>
          <cell r="M7" t="str">
            <v>B-PH
KW</v>
          </cell>
          <cell r="N7" t="str">
            <v>1 - PH
(1)</v>
          </cell>
          <cell r="O7" t="str">
            <v>3 - PH
(2)</v>
          </cell>
          <cell r="P7" t="str">
            <v>3 - PH
(3)</v>
          </cell>
          <cell r="Q7" t="str">
            <v>LV/H
CT (4)</v>
          </cell>
          <cell r="R7" t="str">
            <v>REMARKS</v>
          </cell>
        </row>
        <row r="8">
          <cell r="A8" t="str">
            <v>INCOMER (NON AUTO)</v>
          </cell>
          <cell r="B8" t="str">
            <v>TP</v>
          </cell>
          <cell r="D8">
            <v>100</v>
          </cell>
          <cell r="F8">
            <v>35</v>
          </cell>
          <cell r="G8" t="str">
            <v>FR/SWA/ LSOH</v>
          </cell>
          <cell r="I8" t="str">
            <v>4c 35</v>
          </cell>
          <cell r="J8" t="str">
            <v>1c 16</v>
          </cell>
          <cell r="K8">
            <v>10.683333333333334</v>
          </cell>
          <cell r="L8">
            <v>10.683333333333334</v>
          </cell>
          <cell r="M8">
            <v>10.433333333333334</v>
          </cell>
        </row>
        <row r="9">
          <cell r="A9" t="str">
            <v>OUTGOING</v>
          </cell>
        </row>
        <row r="10">
          <cell r="A10" t="str">
            <v>SPF-GT-RD-1a (DUTY)</v>
          </cell>
          <cell r="B10" t="str">
            <v>TP</v>
          </cell>
          <cell r="D10">
            <v>40</v>
          </cell>
          <cell r="F10">
            <v>22</v>
          </cell>
          <cell r="G10" t="str">
            <v>FR/SWA/ LSOH</v>
          </cell>
          <cell r="I10" t="str">
            <v>2 x 3c 16</v>
          </cell>
          <cell r="J10" t="str">
            <v>1c 16</v>
          </cell>
          <cell r="K10">
            <v>4.9666666666666668</v>
          </cell>
          <cell r="L10">
            <v>4.9666666666666668</v>
          </cell>
          <cell r="M10">
            <v>4.9666666666666668</v>
          </cell>
          <cell r="R10" t="str">
            <v>100mA ELCB + S/D STARTER</v>
          </cell>
        </row>
        <row r="11">
          <cell r="A11" t="str">
            <v>SPF-GT-RD-2a (DUTY)</v>
          </cell>
          <cell r="B11" t="str">
            <v>TP</v>
          </cell>
          <cell r="D11">
            <v>40</v>
          </cell>
          <cell r="F11">
            <v>22</v>
          </cell>
          <cell r="G11" t="str">
            <v>FR/SWA/ LSOH</v>
          </cell>
          <cell r="I11" t="str">
            <v>2 x 3c 16</v>
          </cell>
          <cell r="J11" t="str">
            <v>1c 16</v>
          </cell>
          <cell r="K11">
            <v>4.9666666666666668</v>
          </cell>
          <cell r="L11">
            <v>4.9666666666666668</v>
          </cell>
          <cell r="M11">
            <v>4.9666666666666668</v>
          </cell>
          <cell r="R11" t="str">
            <v>100mA ELCB + S/D STARTER</v>
          </cell>
        </row>
        <row r="12">
          <cell r="A12" t="str">
            <v>SPF-GT-RD-1b (STAND BY)</v>
          </cell>
          <cell r="B12" t="str">
            <v>TP</v>
          </cell>
          <cell r="D12">
            <v>40</v>
          </cell>
          <cell r="F12">
            <v>22</v>
          </cell>
          <cell r="G12" t="str">
            <v>FR/SWA/ LSOH</v>
          </cell>
          <cell r="I12" t="str">
            <v>2 x 3c 16</v>
          </cell>
          <cell r="J12" t="str">
            <v>1c 16</v>
          </cell>
          <cell r="R12" t="str">
            <v>100mA ELCB + S/D STARTER</v>
          </cell>
        </row>
        <row r="13">
          <cell r="A13" t="str">
            <v>SPF-GT-RD-2b (STAND BY)</v>
          </cell>
          <cell r="B13" t="str">
            <v>TP</v>
          </cell>
          <cell r="D13">
            <v>40</v>
          </cell>
          <cell r="F13">
            <v>22</v>
          </cell>
          <cell r="G13" t="str">
            <v>FR/SWA/ LSOH</v>
          </cell>
          <cell r="I13" t="str">
            <v>2 x 3c 16</v>
          </cell>
          <cell r="J13" t="str">
            <v>1c 16</v>
          </cell>
          <cell r="R13" t="str">
            <v>100mA ELCB + S/D STARTER</v>
          </cell>
        </row>
        <row r="14">
          <cell r="A14" t="str">
            <v>SVF-GT-RD-1</v>
          </cell>
          <cell r="B14" t="str">
            <v>TP</v>
          </cell>
          <cell r="D14">
            <v>10</v>
          </cell>
          <cell r="F14">
            <v>22</v>
          </cell>
          <cell r="G14" t="str">
            <v>XLPE/SWA/ LSOH</v>
          </cell>
          <cell r="I14" t="str">
            <v>2c 1.5</v>
          </cell>
          <cell r="J14" t="str">
            <v>1c 1.5</v>
          </cell>
          <cell r="K14">
            <v>0.75</v>
          </cell>
          <cell r="R14" t="str">
            <v>100mA ELCB + DOL STARTER</v>
          </cell>
        </row>
        <row r="15">
          <cell r="A15" t="str">
            <v>SVF-GT-RD-2</v>
          </cell>
          <cell r="B15" t="str">
            <v>TP</v>
          </cell>
          <cell r="D15">
            <v>10</v>
          </cell>
          <cell r="F15">
            <v>22</v>
          </cell>
          <cell r="G15" t="str">
            <v>XLPE/SWA/ LSOH</v>
          </cell>
          <cell r="I15" t="str">
            <v>2c 1.5</v>
          </cell>
          <cell r="J15" t="str">
            <v>1c 1.5</v>
          </cell>
          <cell r="L15">
            <v>0.75</v>
          </cell>
          <cell r="R15" t="str">
            <v>100mA ELCB + DOL STARTER</v>
          </cell>
        </row>
        <row r="16">
          <cell r="A16" t="str">
            <v>CONTROLS</v>
          </cell>
          <cell r="B16" t="str">
            <v>SP</v>
          </cell>
          <cell r="D16">
            <v>10</v>
          </cell>
          <cell r="F16">
            <v>22</v>
          </cell>
          <cell r="G16" t="str">
            <v>FR/SWA/ LSOH</v>
          </cell>
          <cell r="I16" t="str">
            <v>2c 1.5</v>
          </cell>
          <cell r="M16">
            <v>0.5</v>
          </cell>
        </row>
        <row r="22">
          <cell r="A22" t="str">
            <v xml:space="preserve"> </v>
          </cell>
        </row>
        <row r="23">
          <cell r="A23" t="str">
            <v>CONNECTED TO :</v>
          </cell>
          <cell r="B23" t="str">
            <v>MCPE-MG-R-1</v>
          </cell>
          <cell r="F23" t="str">
            <v>TOTAL CONNECTED LOAD PER PHASE</v>
          </cell>
          <cell r="K23">
            <v>10.683333333333334</v>
          </cell>
          <cell r="L23">
            <v>10.683333333333334</v>
          </cell>
          <cell r="M23">
            <v>10.433333333333334</v>
          </cell>
          <cell r="R23" t="str">
            <v>TOTAL</v>
          </cell>
        </row>
        <row r="26">
          <cell r="A26" t="str">
            <v xml:space="preserve">MAX. DEMAND (3 PH.):   </v>
          </cell>
          <cell r="B26">
            <v>31.8</v>
          </cell>
          <cell r="C26" t="str">
            <v>kW</v>
          </cell>
          <cell r="D26" t="str">
            <v xml:space="preserve">AT </v>
          </cell>
          <cell r="E26">
            <v>1</v>
          </cell>
          <cell r="F26" t="str">
            <v>DIVERSITY</v>
          </cell>
          <cell r="J26" t="str">
            <v xml:space="preserve">TOTAL CONNECTED LOAD(3 PH)   </v>
          </cell>
          <cell r="N26">
            <v>31.8</v>
          </cell>
          <cell r="O26" t="str">
            <v>kW</v>
          </cell>
        </row>
        <row r="29">
          <cell r="A29" t="str">
            <v>CONTRACTOR:</v>
          </cell>
          <cell r="K29" t="str">
            <v xml:space="preserve">TEL: </v>
          </cell>
          <cell r="O29" t="str">
            <v xml:space="preserve">FAX: </v>
          </cell>
        </row>
        <row r="31">
          <cell r="A31" t="str">
            <v>Type of Meter (Rating of Incomer):</v>
          </cell>
          <cell r="F31" t="str">
            <v>(1)  Upto 60A</v>
          </cell>
          <cell r="H31" t="str">
            <v>(2)  Upto 100 A</v>
          </cell>
          <cell r="K31" t="str">
            <v>(3)  125 - 160 A</v>
          </cell>
          <cell r="M31" t="str">
            <v>(4)  LV CT ..2500/5.......A</v>
          </cell>
          <cell r="Q31" t="str">
            <v>HV  CT .........../..........A</v>
          </cell>
        </row>
        <row r="32">
          <cell r="F32" t="str">
            <v xml:space="preserve">       (1 Phase)</v>
          </cell>
          <cell r="H32" t="str">
            <v xml:space="preserve">       (3 Phase)</v>
          </cell>
          <cell r="K32" t="str">
            <v xml:space="preserve">       </v>
          </cell>
        </row>
      </sheetData>
      <sheetData sheetId="3" refreshError="1"/>
      <sheetData sheetId="4">
        <row r="1">
          <cell r="A1" t="str">
            <v>PROJECT: DUBAI MARINA MALL &amp; HOTEL/APARTMENTS</v>
          </cell>
          <cell r="I1" t="str">
            <v>DETAILS OF CONNECTED LOAD/ MAX. DEMAND</v>
          </cell>
        </row>
        <row r="2">
          <cell r="I2" t="str">
            <v>OWNER:</v>
          </cell>
          <cell r="J2" t="str">
            <v>EMAAR PROPERTIES PSJC</v>
          </cell>
          <cell r="O2" t="str">
            <v>AREA:</v>
          </cell>
          <cell r="Q2" t="str">
            <v>DUBAI,UNITED ARAB EMIRATES</v>
          </cell>
        </row>
        <row r="3">
          <cell r="E3" t="str">
            <v xml:space="preserve"> </v>
          </cell>
          <cell r="O3" t="str">
            <v xml:space="preserve"> LOCATION OF MCP: </v>
          </cell>
          <cell r="R3" t="str">
            <v>ROOF DECK</v>
          </cell>
        </row>
        <row r="4">
          <cell r="A4" t="str">
            <v xml:space="preserve">MDB / SMDB </v>
          </cell>
          <cell r="B4" t="str">
            <v>LMCP-SEF-GT-RD-1(TYP TO LMCP-SEF-GT-RD-2)</v>
          </cell>
          <cell r="I4" t="str">
            <v>CONSULTANT:MEINHARDT SINGAPORE PTE LTD.</v>
          </cell>
        </row>
        <row r="6">
          <cell r="A6" t="str">
            <v>CIRCUIT/</v>
          </cell>
          <cell r="B6" t="str">
            <v>SP/</v>
          </cell>
          <cell r="C6" t="str">
            <v>RATING - AMPS</v>
          </cell>
          <cell r="F6" t="str">
            <v>Isc FAULT</v>
          </cell>
          <cell r="G6" t="str">
            <v>FR or
XLPE</v>
          </cell>
          <cell r="H6" t="str">
            <v>CABLE SIZE</v>
          </cell>
          <cell r="J6" t="str">
            <v>ECC
SIZE-</v>
          </cell>
          <cell r="K6" t="str">
            <v>CONNECTED LOAD - KW</v>
          </cell>
          <cell r="N6" t="str">
            <v>PROPOSED TYPE &amp; NO. OF
KWH METERS</v>
          </cell>
        </row>
        <row r="7">
          <cell r="A7" t="str">
            <v>FEEDER
DB No.</v>
          </cell>
          <cell r="B7" t="str">
            <v>TP</v>
          </cell>
          <cell r="C7" t="str">
            <v>F/S
ISO</v>
          </cell>
          <cell r="D7" t="str">
            <v>MCCB</v>
          </cell>
          <cell r="E7" t="str">
            <v>MCB</v>
          </cell>
          <cell r="F7" t="str">
            <v>DUTY
KA</v>
          </cell>
          <cell r="G7" t="str">
            <v>SWA/
LS0H</v>
          </cell>
          <cell r="H7" t="str">
            <v>2/4 X1C
mm^2</v>
          </cell>
          <cell r="I7" t="str">
            <v>2/3/4C
mm^2</v>
          </cell>
          <cell r="J7" t="str">
            <v>1c
mm^2</v>
          </cell>
          <cell r="K7" t="str">
            <v>R-PH
KW</v>
          </cell>
          <cell r="L7" t="str">
            <v>Y-PH
KW</v>
          </cell>
          <cell r="M7" t="str">
            <v>B-PH
KW</v>
          </cell>
          <cell r="N7" t="str">
            <v>1 - PH
(1)</v>
          </cell>
          <cell r="O7" t="str">
            <v>3 - PH
(2)</v>
          </cell>
          <cell r="P7" t="str">
            <v>3 - PH
(3)</v>
          </cell>
          <cell r="Q7" t="str">
            <v>LV/H
CT (4)</v>
          </cell>
          <cell r="R7" t="str">
            <v>REMARKS</v>
          </cell>
        </row>
        <row r="8">
          <cell r="A8" t="str">
            <v>INCOMER (NON AUTO)</v>
          </cell>
          <cell r="B8" t="str">
            <v>TP</v>
          </cell>
          <cell r="D8">
            <v>250</v>
          </cell>
          <cell r="F8">
            <v>50</v>
          </cell>
          <cell r="G8" t="str">
            <v>FR/SWA/ LSOH</v>
          </cell>
          <cell r="I8" t="str">
            <v>4c 150</v>
          </cell>
          <cell r="J8" t="str">
            <v>1c 50</v>
          </cell>
          <cell r="K8">
            <v>30.300000000000004</v>
          </cell>
          <cell r="L8">
            <v>29.800000000000004</v>
          </cell>
          <cell r="M8">
            <v>29.800000000000004</v>
          </cell>
        </row>
        <row r="9">
          <cell r="A9" t="str">
            <v>OUTGOING</v>
          </cell>
        </row>
        <row r="10">
          <cell r="A10" t="str">
            <v>SEF-GT-RD-1a</v>
          </cell>
          <cell r="B10" t="str">
            <v>TP</v>
          </cell>
          <cell r="D10">
            <v>40</v>
          </cell>
          <cell r="F10">
            <v>22</v>
          </cell>
          <cell r="G10" t="str">
            <v>FR/SWA/ LSOH</v>
          </cell>
          <cell r="I10" t="str">
            <v>2 x 3c 16</v>
          </cell>
          <cell r="J10" t="str">
            <v>1c 16</v>
          </cell>
          <cell r="K10">
            <v>4.9666666666666668</v>
          </cell>
          <cell r="L10">
            <v>4.9666666666666668</v>
          </cell>
          <cell r="M10">
            <v>4.9666666666666668</v>
          </cell>
          <cell r="R10" t="str">
            <v>100mA ELCB + S/D STARTER</v>
          </cell>
        </row>
        <row r="11">
          <cell r="A11" t="str">
            <v>SEF-GT-RD-1b</v>
          </cell>
          <cell r="B11" t="str">
            <v>TP</v>
          </cell>
          <cell r="D11">
            <v>40</v>
          </cell>
          <cell r="F11">
            <v>22</v>
          </cell>
          <cell r="G11" t="str">
            <v>FR/SWA/ LSOH</v>
          </cell>
          <cell r="I11" t="str">
            <v>2 x 3c 16</v>
          </cell>
          <cell r="J11" t="str">
            <v>1c 16</v>
          </cell>
          <cell r="K11">
            <v>4.9666666666666668</v>
          </cell>
          <cell r="L11">
            <v>4.9666666666666668</v>
          </cell>
          <cell r="M11">
            <v>4.9666666666666668</v>
          </cell>
          <cell r="R11" t="str">
            <v>100mA ELCB + S/D STARTER</v>
          </cell>
        </row>
        <row r="12">
          <cell r="A12" t="str">
            <v>SEF-GT-RD-1c</v>
          </cell>
          <cell r="B12" t="str">
            <v>TP</v>
          </cell>
          <cell r="D12">
            <v>40</v>
          </cell>
          <cell r="F12">
            <v>22</v>
          </cell>
          <cell r="G12" t="str">
            <v>FR/SWA/ LSOH</v>
          </cell>
          <cell r="I12" t="str">
            <v>2 x 3c 16</v>
          </cell>
          <cell r="J12" t="str">
            <v>1c 16</v>
          </cell>
          <cell r="K12">
            <v>4.9666666666666668</v>
          </cell>
          <cell r="L12">
            <v>4.9666666666666668</v>
          </cell>
          <cell r="M12">
            <v>4.9666666666666668</v>
          </cell>
          <cell r="R12" t="str">
            <v>100mA ELCB + S/D STARTER</v>
          </cell>
        </row>
        <row r="13">
          <cell r="A13" t="str">
            <v>SEF-GT-RD-1d</v>
          </cell>
          <cell r="B13" t="str">
            <v>TP</v>
          </cell>
          <cell r="D13">
            <v>40</v>
          </cell>
          <cell r="F13">
            <v>22</v>
          </cell>
          <cell r="G13" t="str">
            <v>FR/SWA/ LSOH</v>
          </cell>
          <cell r="I13" t="str">
            <v>2 x 3c 16</v>
          </cell>
          <cell r="J13" t="str">
            <v>1c 16</v>
          </cell>
          <cell r="K13">
            <v>4.9666666666666668</v>
          </cell>
          <cell r="L13">
            <v>4.9666666666666668</v>
          </cell>
          <cell r="M13">
            <v>4.9666666666666668</v>
          </cell>
          <cell r="R13" t="str">
            <v>100mA ELCB + S/D STARTER</v>
          </cell>
        </row>
        <row r="14">
          <cell r="A14" t="str">
            <v>SEF-GT-RD-1e</v>
          </cell>
          <cell r="B14" t="str">
            <v>TP</v>
          </cell>
          <cell r="D14">
            <v>40</v>
          </cell>
          <cell r="F14">
            <v>22</v>
          </cell>
          <cell r="G14" t="str">
            <v>FR/SWA/ LSOH</v>
          </cell>
          <cell r="I14" t="str">
            <v>2 x 3c 16</v>
          </cell>
          <cell r="J14" t="str">
            <v>1c 16</v>
          </cell>
          <cell r="K14">
            <v>4.9666666666666668</v>
          </cell>
          <cell r="L14">
            <v>4.9666666666666668</v>
          </cell>
          <cell r="M14">
            <v>4.9666666666666668</v>
          </cell>
          <cell r="R14" t="str">
            <v>100mA ELCB + S/D STARTER</v>
          </cell>
        </row>
        <row r="15">
          <cell r="A15" t="str">
            <v>SEF-GT-RD-1f</v>
          </cell>
          <cell r="B15" t="str">
            <v>TP</v>
          </cell>
          <cell r="D15">
            <v>40</v>
          </cell>
          <cell r="F15">
            <v>22</v>
          </cell>
          <cell r="G15" t="str">
            <v>FR/SWA/ LSOH</v>
          </cell>
          <cell r="I15" t="str">
            <v>2 x 3c 16</v>
          </cell>
          <cell r="J15" t="str">
            <v>1c 16</v>
          </cell>
          <cell r="K15">
            <v>4.9666666666666668</v>
          </cell>
          <cell r="L15">
            <v>4.9666666666666668</v>
          </cell>
          <cell r="M15">
            <v>4.9666666666666668</v>
          </cell>
          <cell r="R15" t="str">
            <v>100mA ELCB + S/D STARTER</v>
          </cell>
        </row>
        <row r="16">
          <cell r="A16" t="str">
            <v>CONTROLS</v>
          </cell>
          <cell r="B16" t="str">
            <v>SP</v>
          </cell>
          <cell r="D16">
            <v>10</v>
          </cell>
          <cell r="F16">
            <v>22</v>
          </cell>
          <cell r="G16" t="str">
            <v>FR/SWA/ LSOH</v>
          </cell>
          <cell r="I16" t="str">
            <v>2c 1.5</v>
          </cell>
          <cell r="K16">
            <v>0.5</v>
          </cell>
        </row>
        <row r="22">
          <cell r="A22" t="str">
            <v xml:space="preserve"> </v>
          </cell>
        </row>
        <row r="23">
          <cell r="A23" t="str">
            <v>CONNECTED TO :</v>
          </cell>
          <cell r="B23" t="str">
            <v>MCPE-MG-R-1</v>
          </cell>
          <cell r="F23" t="str">
            <v>TOTAL CONNECTED LOAD PER PHASE</v>
          </cell>
          <cell r="K23">
            <v>30.300000000000004</v>
          </cell>
          <cell r="L23">
            <v>29.800000000000004</v>
          </cell>
          <cell r="M23">
            <v>29.800000000000004</v>
          </cell>
          <cell r="R23" t="str">
            <v>TOTAL</v>
          </cell>
        </row>
        <row r="26">
          <cell r="A26" t="str">
            <v xml:space="preserve">MAX. DEMAND (3 PH.):   </v>
          </cell>
          <cell r="B26">
            <v>89.9</v>
          </cell>
          <cell r="C26" t="str">
            <v>kW</v>
          </cell>
          <cell r="D26" t="str">
            <v xml:space="preserve">AT </v>
          </cell>
          <cell r="E26">
            <v>1</v>
          </cell>
          <cell r="F26" t="str">
            <v>DIVERSITY</v>
          </cell>
          <cell r="J26" t="str">
            <v xml:space="preserve">TOTAL CONNECTED LOAD(3 PH)   </v>
          </cell>
          <cell r="N26">
            <v>89.9</v>
          </cell>
          <cell r="O26" t="str">
            <v>kW</v>
          </cell>
        </row>
        <row r="29">
          <cell r="A29" t="str">
            <v>CONTRACTOR:</v>
          </cell>
          <cell r="K29" t="str">
            <v xml:space="preserve">TEL: </v>
          </cell>
          <cell r="O29" t="str">
            <v xml:space="preserve">FAX: </v>
          </cell>
        </row>
        <row r="31">
          <cell r="A31" t="str">
            <v>Type of Meter (Rating of Incomer):</v>
          </cell>
          <cell r="F31" t="str">
            <v>(1)  Upto 60A</v>
          </cell>
          <cell r="H31" t="str">
            <v>(2)  Upto 100 A</v>
          </cell>
          <cell r="K31" t="str">
            <v>(3)  125 - 160 A</v>
          </cell>
          <cell r="M31" t="str">
            <v>(4)  LV CT ..2500/5.......A</v>
          </cell>
          <cell r="Q31" t="str">
            <v>HV  CT .........../..........A</v>
          </cell>
        </row>
        <row r="32">
          <cell r="F32" t="str">
            <v xml:space="preserve">       (1 Phase)</v>
          </cell>
          <cell r="H32" t="str">
            <v xml:space="preserve">       (3 Phase)</v>
          </cell>
          <cell r="K32" t="str">
            <v xml:space="preserve">       </v>
          </cell>
        </row>
      </sheetData>
      <sheetData sheetId="5">
        <row r="1">
          <cell r="A1" t="str">
            <v>PROJECT: DUBAI MARINA MALL &amp; HOTEL/APARTMENT</v>
          </cell>
          <cell r="I1" t="str">
            <v>DETAILS OF CONNECTED LOAD/ MAX. DEMAND</v>
          </cell>
        </row>
        <row r="2">
          <cell r="I2" t="str">
            <v>OWNER:</v>
          </cell>
          <cell r="J2" t="str">
            <v>EMAAR PROPERTIES PSJC</v>
          </cell>
          <cell r="O2" t="str">
            <v>AREA:</v>
          </cell>
          <cell r="Q2" t="str">
            <v>DUBAI,UNITED ARAB EMIRATES</v>
          </cell>
        </row>
        <row r="3">
          <cell r="E3" t="str">
            <v xml:space="preserve"> </v>
          </cell>
          <cell r="O3" t="str">
            <v xml:space="preserve"> LOCATION OF MCP: </v>
          </cell>
          <cell r="R3" t="str">
            <v>ROOF DECK (GOURMET)</v>
          </cell>
        </row>
        <row r="4">
          <cell r="A4" t="str">
            <v xml:space="preserve">MDB / SMDB </v>
          </cell>
          <cell r="B4" t="str">
            <v>MCPE-MG-R-1</v>
          </cell>
          <cell r="I4" t="str">
            <v>CONSULTANT:MEINHARDT SINGAPORE PTE LTD.</v>
          </cell>
        </row>
        <row r="6">
          <cell r="A6" t="str">
            <v>CIRCUIT/</v>
          </cell>
          <cell r="B6" t="str">
            <v>SP/</v>
          </cell>
          <cell r="C6" t="str">
            <v>RATING - AMPS</v>
          </cell>
          <cell r="F6" t="str">
            <v>Isc FAULT</v>
          </cell>
          <cell r="G6" t="str">
            <v>FR or
XLPE</v>
          </cell>
          <cell r="H6" t="str">
            <v>CABLE SIZE</v>
          </cell>
          <cell r="J6" t="str">
            <v>ECC
SIZE-</v>
          </cell>
          <cell r="K6" t="str">
            <v>CONNECTED LOAD - KW</v>
          </cell>
          <cell r="N6" t="str">
            <v>PROPOSED TYPE &amp; NO. OF
KWH METERS</v>
          </cell>
        </row>
        <row r="7">
          <cell r="A7" t="str">
            <v>FEEDER
DB No.</v>
          </cell>
          <cell r="B7" t="str">
            <v>TP</v>
          </cell>
          <cell r="C7" t="str">
            <v>F/S
ISO</v>
          </cell>
          <cell r="D7" t="str">
            <v>MCCB</v>
          </cell>
          <cell r="E7" t="str">
            <v>MCB</v>
          </cell>
          <cell r="F7" t="str">
            <v>DUTY
KA</v>
          </cell>
          <cell r="G7" t="str">
            <v>SWA/
LS0H</v>
          </cell>
          <cell r="H7" t="str">
            <v>2/4 X1C
mm^2</v>
          </cell>
          <cell r="I7" t="str">
            <v>2/3/4C
mm^2</v>
          </cell>
          <cell r="J7" t="str">
            <v>1c
mm^2</v>
          </cell>
          <cell r="K7" t="str">
            <v>R-PH
KW</v>
          </cell>
          <cell r="L7" t="str">
            <v>Y-PH
KW</v>
          </cell>
          <cell r="M7" t="str">
            <v>B-PH
KW</v>
          </cell>
          <cell r="N7" t="str">
            <v>1 - PH
(1)</v>
          </cell>
          <cell r="O7" t="str">
            <v>3 - PH
(2)</v>
          </cell>
          <cell r="P7" t="str">
            <v>3 - PH
(3)</v>
          </cell>
          <cell r="Q7" t="str">
            <v>LV/H
CT (4)</v>
          </cell>
          <cell r="R7" t="str">
            <v>REMARKS</v>
          </cell>
        </row>
        <row r="8">
          <cell r="A8" t="str">
            <v>INCOMER (NON AUTO)</v>
          </cell>
          <cell r="B8" t="str">
            <v>TP</v>
          </cell>
          <cell r="D8">
            <v>630</v>
          </cell>
          <cell r="F8">
            <v>50</v>
          </cell>
          <cell r="G8" t="str">
            <v>FR/SWA/ LSOH</v>
          </cell>
          <cell r="I8" t="str">
            <v>2x4c 240</v>
          </cell>
          <cell r="J8" t="str">
            <v>1c 240</v>
          </cell>
          <cell r="K8">
            <v>71.283333333333346</v>
          </cell>
          <cell r="L8">
            <v>70.283333333333346</v>
          </cell>
          <cell r="M8">
            <v>70.033333333333346</v>
          </cell>
        </row>
        <row r="9">
          <cell r="A9" t="str">
            <v>OUTGOING</v>
          </cell>
        </row>
        <row r="10">
          <cell r="A10" t="str">
            <v>I-LMCP-SEF-GT-RD-1</v>
          </cell>
          <cell r="B10" t="str">
            <v>TP</v>
          </cell>
          <cell r="D10">
            <v>250</v>
          </cell>
          <cell r="F10">
            <v>50</v>
          </cell>
          <cell r="G10" t="str">
            <v>FR/SWA/ LSOH</v>
          </cell>
          <cell r="I10" t="str">
            <v>4c 150</v>
          </cell>
          <cell r="J10" t="str">
            <v>1c 50</v>
          </cell>
          <cell r="K10">
            <v>30.300000000000004</v>
          </cell>
          <cell r="L10">
            <v>29.800000000000004</v>
          </cell>
          <cell r="M10">
            <v>29.800000000000004</v>
          </cell>
        </row>
        <row r="11">
          <cell r="A11" t="str">
            <v>I-LMCP-SEF-GT-RD-2</v>
          </cell>
          <cell r="B11" t="str">
            <v>TP</v>
          </cell>
          <cell r="D11">
            <v>250</v>
          </cell>
          <cell r="F11">
            <v>50</v>
          </cell>
          <cell r="G11" t="str">
            <v>FR/SWA/ LSOH</v>
          </cell>
          <cell r="I11" t="str">
            <v>4c 150</v>
          </cell>
          <cell r="J11" t="str">
            <v>1c 50</v>
          </cell>
          <cell r="K11">
            <v>30.300000000000004</v>
          </cell>
          <cell r="L11">
            <v>29.800000000000004</v>
          </cell>
          <cell r="M11">
            <v>29.800000000000004</v>
          </cell>
        </row>
        <row r="12">
          <cell r="A12" t="str">
            <v xml:space="preserve">I-LMCP-SPF-GT-RD-1 </v>
          </cell>
          <cell r="B12" t="str">
            <v>TP</v>
          </cell>
          <cell r="D12">
            <v>100</v>
          </cell>
          <cell r="F12">
            <v>35</v>
          </cell>
          <cell r="G12" t="str">
            <v>FR/SWA/ LSOH</v>
          </cell>
          <cell r="I12" t="str">
            <v>4c 35</v>
          </cell>
          <cell r="J12" t="str">
            <v>1c 16</v>
          </cell>
          <cell r="K12">
            <v>10.683333333333334</v>
          </cell>
          <cell r="L12">
            <v>10.683333333333334</v>
          </cell>
          <cell r="M12">
            <v>10.433333333333334</v>
          </cell>
        </row>
        <row r="24">
          <cell r="A24" t="str">
            <v xml:space="preserve"> </v>
          </cell>
        </row>
        <row r="25">
          <cell r="A25" t="str">
            <v xml:space="preserve">CONNECTED TO : </v>
          </cell>
          <cell r="B25" t="str">
            <v>SBE-MG-G-1</v>
          </cell>
          <cell r="F25" t="str">
            <v>TOTAL CONNECTED LOAD PER PHASE</v>
          </cell>
          <cell r="K25">
            <v>71.283333333333346</v>
          </cell>
          <cell r="L25">
            <v>70.283333333333346</v>
          </cell>
          <cell r="M25">
            <v>70.033333333333346</v>
          </cell>
          <cell r="R25" t="str">
            <v>TOTAL</v>
          </cell>
        </row>
        <row r="28">
          <cell r="A28" t="str">
            <v xml:space="preserve">MAX. DEMAND (3 PH.):   </v>
          </cell>
          <cell r="B28">
            <v>190.44000000000003</v>
          </cell>
          <cell r="C28" t="str">
            <v>kW</v>
          </cell>
          <cell r="D28" t="str">
            <v xml:space="preserve">AT </v>
          </cell>
          <cell r="E28">
            <v>0.9</v>
          </cell>
          <cell r="F28" t="str">
            <v>DIVERSITY</v>
          </cell>
          <cell r="J28" t="str">
            <v xml:space="preserve">TOTAL CONNECTED LOAD(3 PH)   </v>
          </cell>
          <cell r="N28">
            <v>211.60000000000002</v>
          </cell>
          <cell r="O28" t="str">
            <v>kW</v>
          </cell>
        </row>
        <row r="31">
          <cell r="A31" t="str">
            <v>CONTRACTOR:</v>
          </cell>
          <cell r="K31" t="str">
            <v xml:space="preserve">TEL: </v>
          </cell>
          <cell r="O31" t="str">
            <v xml:space="preserve">FAX: </v>
          </cell>
        </row>
        <row r="33">
          <cell r="A33" t="str">
            <v>Type of Meter (Rating of Incomer):</v>
          </cell>
          <cell r="F33" t="str">
            <v>(1)  Upto 60A</v>
          </cell>
          <cell r="H33" t="str">
            <v>(2)  Upto 100 A</v>
          </cell>
          <cell r="K33" t="str">
            <v>(3)  125 - 160 A</v>
          </cell>
          <cell r="M33" t="str">
            <v>(4)  LV CT ..2500/5.......A</v>
          </cell>
          <cell r="Q33" t="str">
            <v>HV  CT .........../..........A</v>
          </cell>
        </row>
        <row r="34">
          <cell r="F34" t="str">
            <v xml:space="preserve">       (1 Phase)</v>
          </cell>
          <cell r="H34" t="str">
            <v xml:space="preserve">       (3 Phase)</v>
          </cell>
          <cell r="K34" t="str">
            <v xml:space="preserve">       </v>
          </cell>
        </row>
      </sheetData>
      <sheetData sheetId="6">
        <row r="1">
          <cell r="A1" t="str">
            <v>PROJECT: DUBAI MARINA MALL &amp; HOTEL APARTMENTS</v>
          </cell>
          <cell r="I1" t="str">
            <v>DETAILS OF CONNECTED LOAD/ MAX. DEMAND</v>
          </cell>
        </row>
        <row r="2">
          <cell r="I2" t="str">
            <v>OWNER:</v>
          </cell>
          <cell r="J2" t="str">
            <v>EMAAR PROPERTIES PSJC</v>
          </cell>
          <cell r="O2" t="str">
            <v>AREA:</v>
          </cell>
          <cell r="Q2" t="str">
            <v>DUBAI,UNITED ARAB EMIRATES</v>
          </cell>
        </row>
        <row r="3">
          <cell r="E3" t="str">
            <v xml:space="preserve"> </v>
          </cell>
          <cell r="O3" t="str">
            <v xml:space="preserve"> LOCATION OF MCP: </v>
          </cell>
          <cell r="R3" t="str">
            <v>GROUND MEZZ. FLOOR</v>
          </cell>
        </row>
        <row r="4">
          <cell r="A4" t="str">
            <v xml:space="preserve">MDB / SMDB </v>
          </cell>
          <cell r="B4" t="str">
            <v>LMCP-LPF-GT-GM-1</v>
          </cell>
          <cell r="I4" t="str">
            <v>CONSULTANT:MEINHARDT SINGAPORE PTE LTD.</v>
          </cell>
        </row>
        <row r="6">
          <cell r="A6" t="str">
            <v>CIRCUIT/</v>
          </cell>
          <cell r="B6" t="str">
            <v>SP/</v>
          </cell>
          <cell r="C6" t="str">
            <v>RATING - AMPS</v>
          </cell>
          <cell r="F6" t="str">
            <v>Isc FAULT</v>
          </cell>
          <cell r="G6" t="str">
            <v>FR or
XLPE</v>
          </cell>
          <cell r="H6" t="str">
            <v>CABLE SIZE</v>
          </cell>
          <cell r="J6" t="str">
            <v>ECC
SIZE-</v>
          </cell>
          <cell r="K6" t="str">
            <v>CONNECTED LOAD - KW</v>
          </cell>
          <cell r="N6" t="str">
            <v>PROPOSED TYPE &amp; NO. OF
KWH METERS</v>
          </cell>
        </row>
        <row r="7">
          <cell r="A7" t="str">
            <v>FEEDER
DB No.</v>
          </cell>
          <cell r="B7" t="str">
            <v>TP</v>
          </cell>
          <cell r="C7" t="str">
            <v>F/S
ISO</v>
          </cell>
          <cell r="D7" t="str">
            <v>MCCB</v>
          </cell>
          <cell r="E7" t="str">
            <v>MCB</v>
          </cell>
          <cell r="F7" t="str">
            <v>DUTY
KA</v>
          </cell>
          <cell r="G7" t="str">
            <v>SWA/
LS0H</v>
          </cell>
          <cell r="H7" t="str">
            <v>2/4 X1C
mm^2</v>
          </cell>
          <cell r="I7" t="str">
            <v>2/3/4C
mm^2</v>
          </cell>
          <cell r="J7" t="str">
            <v>1c
mm^2</v>
          </cell>
          <cell r="K7" t="str">
            <v>R-PH
KW</v>
          </cell>
          <cell r="L7" t="str">
            <v>Y-PH
KW</v>
          </cell>
          <cell r="M7" t="str">
            <v>B-PH
KW</v>
          </cell>
          <cell r="N7" t="str">
            <v>1 - PH
(1)</v>
          </cell>
          <cell r="O7" t="str">
            <v>3 - PH
(2)</v>
          </cell>
          <cell r="P7" t="str">
            <v>3 - PH
(3)</v>
          </cell>
          <cell r="Q7" t="str">
            <v>LV/H
CT (4)</v>
          </cell>
          <cell r="R7" t="str">
            <v>REMARKS</v>
          </cell>
        </row>
        <row r="8">
          <cell r="A8" t="str">
            <v>INCOMER (NON AUTO)</v>
          </cell>
          <cell r="B8" t="str">
            <v>TP</v>
          </cell>
          <cell r="D8">
            <v>63</v>
          </cell>
          <cell r="F8">
            <v>35</v>
          </cell>
          <cell r="G8" t="str">
            <v>FR/SWA/ LSOH</v>
          </cell>
          <cell r="I8" t="str">
            <v>4c 16</v>
          </cell>
          <cell r="J8" t="str">
            <v>1c 16</v>
          </cell>
          <cell r="K8">
            <v>4.2333333333333325</v>
          </cell>
          <cell r="L8">
            <v>3.7333333333333329</v>
          </cell>
          <cell r="M8">
            <v>3.7333333333333329</v>
          </cell>
        </row>
        <row r="9">
          <cell r="A9" t="str">
            <v>OUTGOING</v>
          </cell>
        </row>
        <row r="10">
          <cell r="A10" t="str">
            <v>LPF-GT-GM-1a(DUTY)</v>
          </cell>
          <cell r="B10" t="str">
            <v>TP</v>
          </cell>
          <cell r="D10">
            <v>40</v>
          </cell>
          <cell r="F10">
            <v>22</v>
          </cell>
          <cell r="G10" t="str">
            <v>FR/SWA/ LSOH</v>
          </cell>
          <cell r="I10" t="str">
            <v>2 x 3c 10</v>
          </cell>
          <cell r="J10" t="str">
            <v>1c 10</v>
          </cell>
          <cell r="K10">
            <v>3.7333333333333329</v>
          </cell>
          <cell r="L10">
            <v>3.7333333333333329</v>
          </cell>
          <cell r="M10">
            <v>3.7333333333333329</v>
          </cell>
          <cell r="R10" t="str">
            <v>100mA ELCB + S/D STARTER</v>
          </cell>
        </row>
        <row r="11">
          <cell r="A11" t="str">
            <v>LPF-GT-GM-1b(STAND BY)</v>
          </cell>
          <cell r="B11" t="str">
            <v>TP</v>
          </cell>
          <cell r="D11">
            <v>40</v>
          </cell>
          <cell r="F11">
            <v>22</v>
          </cell>
          <cell r="G11" t="str">
            <v>FR/SWA/ LSOH</v>
          </cell>
          <cell r="I11" t="str">
            <v>2 x 3c 10</v>
          </cell>
          <cell r="J11" t="str">
            <v>1c 10</v>
          </cell>
          <cell r="R11" t="str">
            <v>100mA ELCB + S/D STARTER</v>
          </cell>
        </row>
        <row r="12">
          <cell r="A12" t="str">
            <v>CONTROLS</v>
          </cell>
          <cell r="B12" t="str">
            <v>SP</v>
          </cell>
          <cell r="D12">
            <v>10</v>
          </cell>
          <cell r="F12">
            <v>22</v>
          </cell>
          <cell r="G12" t="str">
            <v>FR/SWA/ LSOH</v>
          </cell>
          <cell r="I12" t="str">
            <v>2c 1.5</v>
          </cell>
          <cell r="K12">
            <v>0.5</v>
          </cell>
        </row>
        <row r="23">
          <cell r="A23" t="str">
            <v xml:space="preserve"> </v>
          </cell>
        </row>
        <row r="24">
          <cell r="A24" t="str">
            <v xml:space="preserve">CONNECTED TO : </v>
          </cell>
          <cell r="B24" t="str">
            <v>SBE-MG-G-1</v>
          </cell>
          <cell r="F24" t="str">
            <v>TOTAL CONNECTED LOAD PER PHASE</v>
          </cell>
          <cell r="K24">
            <v>4.2333333333333325</v>
          </cell>
          <cell r="L24">
            <v>3.7333333333333329</v>
          </cell>
          <cell r="M24">
            <v>3.7333333333333329</v>
          </cell>
          <cell r="R24" t="str">
            <v>TOTAL</v>
          </cell>
        </row>
        <row r="27">
          <cell r="A27" t="str">
            <v xml:space="preserve">MAX. DEMAND (3 PH.):   </v>
          </cell>
          <cell r="B27">
            <v>11.699999999999998</v>
          </cell>
          <cell r="C27" t="str">
            <v>kW</v>
          </cell>
          <cell r="D27" t="str">
            <v xml:space="preserve">AT </v>
          </cell>
          <cell r="E27">
            <v>1</v>
          </cell>
          <cell r="F27" t="str">
            <v>DIVERSITY</v>
          </cell>
          <cell r="J27" t="str">
            <v xml:space="preserve">TOTAL CONNECTED LOAD(3 PH)   </v>
          </cell>
          <cell r="N27">
            <v>11.699999999999998</v>
          </cell>
          <cell r="O27" t="str">
            <v>kW</v>
          </cell>
        </row>
        <row r="30">
          <cell r="A30" t="str">
            <v>CONTRACTOR:</v>
          </cell>
          <cell r="K30" t="str">
            <v xml:space="preserve">TEL: </v>
          </cell>
          <cell r="O30" t="str">
            <v xml:space="preserve">FAX: </v>
          </cell>
        </row>
        <row r="32">
          <cell r="A32" t="str">
            <v>Type of Meter (Rating of Incomer):</v>
          </cell>
          <cell r="F32" t="str">
            <v>(1)  Upto 60A</v>
          </cell>
          <cell r="H32" t="str">
            <v>(2)  Upto 100 A</v>
          </cell>
          <cell r="K32" t="str">
            <v>(3)  125 - 160 A</v>
          </cell>
          <cell r="M32" t="str">
            <v>(4)  LV CT ..2500/5.......A</v>
          </cell>
          <cell r="Q32" t="str">
            <v>HV  CT .........../..........A</v>
          </cell>
        </row>
        <row r="33">
          <cell r="F33" t="str">
            <v xml:space="preserve">       (1 Phase)</v>
          </cell>
          <cell r="H33" t="str">
            <v xml:space="preserve">       (3 Phase)</v>
          </cell>
          <cell r="K33" t="str">
            <v xml:space="preserve">       </v>
          </cell>
        </row>
      </sheetData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E-MG-G-1"/>
      <sheetName val="LMCP_AHU_GT_LGM_1"/>
      <sheetName val="LMCP_SPF_GT_RD_1"/>
      <sheetName val="LMCP_SEF_GT_RD_2"/>
      <sheetName val="LMCP_SEF_GT_RD_1"/>
      <sheetName val="MCPE_MG_R_1"/>
      <sheetName val="LMCP_LPF_GT_GM_1"/>
      <sheetName val="SBE_MG_G_1"/>
      <sheetName val="Sheet1"/>
      <sheetName val="Sheet2"/>
      <sheetName val="Sheet3"/>
    </sheetNames>
    <sheetDataSet>
      <sheetData sheetId="0"/>
      <sheetData sheetId="1">
        <row r="1">
          <cell r="A1" t="str">
            <v>PROJECT: DUBAI MARINA MALL &amp; HOTEL APARTMENTS</v>
          </cell>
          <cell r="I1" t="str">
            <v>DETAILS OF CONNECTED LOAD/ MAX. DEMAND</v>
          </cell>
        </row>
        <row r="2">
          <cell r="I2" t="str">
            <v>OWNER:</v>
          </cell>
          <cell r="J2" t="str">
            <v>EMAAR PROPERTIES PSJC</v>
          </cell>
          <cell r="O2" t="str">
            <v>AREA:</v>
          </cell>
          <cell r="Q2" t="str">
            <v>DUBAI,UNITED ARAB EMIRATES</v>
          </cell>
        </row>
        <row r="3">
          <cell r="E3" t="str">
            <v xml:space="preserve"> </v>
          </cell>
          <cell r="O3" t="str">
            <v xml:space="preserve"> LOCATION OF MCP: </v>
          </cell>
          <cell r="R3" t="str">
            <v>LOWER GORUND MEZZ.</v>
          </cell>
        </row>
        <row r="4">
          <cell r="A4" t="str">
            <v xml:space="preserve">MDB / SMDB </v>
          </cell>
          <cell r="B4" t="str">
            <v>LMCP-AHU-GT-LGM-1</v>
          </cell>
          <cell r="I4" t="str">
            <v>CONSULTANT:MEINHARDT SINGAPORE PTE LTD.</v>
          </cell>
        </row>
        <row r="6">
          <cell r="A6" t="str">
            <v>CIRCUIT/</v>
          </cell>
          <cell r="B6" t="str">
            <v>SP/</v>
          </cell>
          <cell r="C6" t="str">
            <v>RATING - AMPS</v>
          </cell>
          <cell r="F6" t="str">
            <v>Isc FAULT</v>
          </cell>
          <cell r="G6" t="str">
            <v>FR or
XLPE</v>
          </cell>
          <cell r="H6" t="str">
            <v>CABLE SIZE</v>
          </cell>
          <cell r="J6" t="str">
            <v>ECC
SIZE-</v>
          </cell>
          <cell r="K6" t="str">
            <v>CONNECTED LOAD - KW</v>
          </cell>
          <cell r="N6" t="str">
            <v>PROPOSED TYPE &amp; NO. OF
KWH METERS</v>
          </cell>
        </row>
        <row r="7">
          <cell r="A7" t="str">
            <v>FEEDER
DB No.</v>
          </cell>
          <cell r="B7" t="str">
            <v>TP</v>
          </cell>
          <cell r="C7" t="str">
            <v>F/S
ISO</v>
          </cell>
          <cell r="D7" t="str">
            <v>MCCB</v>
          </cell>
          <cell r="E7" t="str">
            <v>MCB</v>
          </cell>
          <cell r="F7" t="str">
            <v>DUTY
KA</v>
          </cell>
          <cell r="G7" t="str">
            <v>SWA/
LS0H</v>
          </cell>
          <cell r="H7" t="str">
            <v>2/4 X1C
mm^2</v>
          </cell>
          <cell r="I7" t="str">
            <v>2/3/4C
mm^2</v>
          </cell>
          <cell r="J7" t="str">
            <v>1c
mm^2</v>
          </cell>
          <cell r="K7" t="str">
            <v>R-PH
KW</v>
          </cell>
          <cell r="L7" t="str">
            <v>Y-PH
KW</v>
          </cell>
          <cell r="M7" t="str">
            <v>B-PH
KW</v>
          </cell>
          <cell r="N7" t="str">
            <v>1 - PH
(1)</v>
          </cell>
          <cell r="O7" t="str">
            <v>3 - PH
(2)</v>
          </cell>
          <cell r="P7" t="str">
            <v>3 - PH
(3)</v>
          </cell>
          <cell r="Q7" t="str">
            <v>LV/H
CT (4)</v>
          </cell>
          <cell r="R7" t="str">
            <v>REMARKS</v>
          </cell>
        </row>
        <row r="8">
          <cell r="A8" t="str">
            <v>INCOMER (NON AUTO)</v>
          </cell>
          <cell r="B8" t="str">
            <v>TP</v>
          </cell>
          <cell r="D8">
            <v>60</v>
          </cell>
          <cell r="F8">
            <v>36</v>
          </cell>
          <cell r="G8" t="str">
            <v>XLPE/SWA/LSOH</v>
          </cell>
          <cell r="I8" t="str">
            <v>4c 16</v>
          </cell>
          <cell r="J8" t="str">
            <v>1c 16</v>
          </cell>
          <cell r="K8">
            <v>5.5</v>
          </cell>
          <cell r="L8">
            <v>5</v>
          </cell>
          <cell r="M8">
            <v>5</v>
          </cell>
        </row>
        <row r="9">
          <cell r="A9" t="str">
            <v>OUTGOING</v>
          </cell>
        </row>
        <row r="10">
          <cell r="A10" t="str">
            <v>AHU-GT-LGM-1</v>
          </cell>
          <cell r="B10" t="str">
            <v>TP</v>
          </cell>
          <cell r="D10">
            <v>50</v>
          </cell>
          <cell r="F10">
            <v>36</v>
          </cell>
          <cell r="G10" t="str">
            <v>XLPE/SWA/LSOH</v>
          </cell>
          <cell r="I10" t="str">
            <v>2x4c 10</v>
          </cell>
          <cell r="J10" t="str">
            <v>1c 10</v>
          </cell>
          <cell r="K10">
            <v>5</v>
          </cell>
          <cell r="L10">
            <v>5</v>
          </cell>
          <cell r="M10">
            <v>5</v>
          </cell>
          <cell r="R10" t="str">
            <v>100mA ELCB + DOL STARTER</v>
          </cell>
        </row>
        <row r="11">
          <cell r="A11" t="str">
            <v>CONTROLS</v>
          </cell>
          <cell r="B11" t="str">
            <v>SP</v>
          </cell>
          <cell r="D11">
            <v>10</v>
          </cell>
          <cell r="F11">
            <v>22</v>
          </cell>
          <cell r="G11" t="str">
            <v>XLPE/SWA/LSOH</v>
          </cell>
          <cell r="I11" t="str">
            <v>2x4c 4</v>
          </cell>
          <cell r="K11">
            <v>0.5</v>
          </cell>
        </row>
        <row r="22">
          <cell r="A22" t="str">
            <v xml:space="preserve"> </v>
          </cell>
        </row>
        <row r="23">
          <cell r="A23" t="str">
            <v>CONNECTED TO :</v>
          </cell>
          <cell r="B23" t="str">
            <v>SBE-MG-G-1</v>
          </cell>
          <cell r="F23" t="str">
            <v>TOTAL CONNECTED LOAD PER PHASE</v>
          </cell>
          <cell r="K23">
            <v>5.5</v>
          </cell>
          <cell r="L23">
            <v>5</v>
          </cell>
          <cell r="M23">
            <v>5</v>
          </cell>
          <cell r="R23" t="str">
            <v>TOTAL</v>
          </cell>
        </row>
        <row r="26">
          <cell r="A26" t="str">
            <v xml:space="preserve">MAX. DEMAND (3 PH.):   </v>
          </cell>
          <cell r="B26">
            <v>15.5</v>
          </cell>
          <cell r="C26" t="str">
            <v>kW</v>
          </cell>
          <cell r="D26" t="str">
            <v xml:space="preserve">AT </v>
          </cell>
          <cell r="E26">
            <v>1</v>
          </cell>
          <cell r="F26" t="str">
            <v>DIVERSITY</v>
          </cell>
          <cell r="J26" t="str">
            <v xml:space="preserve">TOTAL CONNECTED LOAD(3 PH)   </v>
          </cell>
          <cell r="N26">
            <v>15.5</v>
          </cell>
          <cell r="O26" t="str">
            <v>kW</v>
          </cell>
        </row>
        <row r="29">
          <cell r="A29" t="str">
            <v>CONTRACTOR:</v>
          </cell>
          <cell r="K29" t="str">
            <v xml:space="preserve">TEL: </v>
          </cell>
          <cell r="O29" t="str">
            <v xml:space="preserve">FAX: </v>
          </cell>
        </row>
        <row r="31">
          <cell r="A31" t="str">
            <v>Type of Meter (Rating of Incomer):</v>
          </cell>
          <cell r="F31" t="str">
            <v>(1)  Upto 60A</v>
          </cell>
          <cell r="H31" t="str">
            <v>(2)  Upto 100 A</v>
          </cell>
          <cell r="K31" t="str">
            <v>(3)  125 - 160 A</v>
          </cell>
          <cell r="M31" t="str">
            <v>(4)  LV CT ..2500/5.......A</v>
          </cell>
          <cell r="Q31" t="str">
            <v>HV  CT .........../..........A</v>
          </cell>
        </row>
        <row r="32">
          <cell r="F32" t="str">
            <v xml:space="preserve">       (1 Phase)</v>
          </cell>
          <cell r="H32" t="str">
            <v xml:space="preserve">       (3 Phase)</v>
          </cell>
          <cell r="K32" t="str">
            <v xml:space="preserve">       </v>
          </cell>
        </row>
      </sheetData>
      <sheetData sheetId="2">
        <row r="1">
          <cell r="A1" t="str">
            <v>PROJECT: DUBAI MARINA MALL &amp; HOTEL/APARTMENTS</v>
          </cell>
          <cell r="I1" t="str">
            <v>DETAILS OF CONNECTED LOAD/ MAX. DEMAND</v>
          </cell>
        </row>
        <row r="2">
          <cell r="I2" t="str">
            <v>OWNER:</v>
          </cell>
          <cell r="J2" t="str">
            <v>EMAAR PROPERTIES PSJC</v>
          </cell>
          <cell r="O2" t="str">
            <v>AREA:</v>
          </cell>
          <cell r="Q2" t="str">
            <v>DUBAI,UNITED ARAB EMIRATES</v>
          </cell>
        </row>
        <row r="3">
          <cell r="E3" t="str">
            <v xml:space="preserve"> </v>
          </cell>
          <cell r="O3" t="str">
            <v xml:space="preserve"> LOCATION OF MCP: </v>
          </cell>
          <cell r="R3" t="str">
            <v>ROOF DECK (GOURMET TOWER)</v>
          </cell>
        </row>
        <row r="4">
          <cell r="A4" t="str">
            <v xml:space="preserve">MDB / SMDB </v>
          </cell>
          <cell r="B4" t="str">
            <v xml:space="preserve">LMCP-SPF-GT-RD-1 </v>
          </cell>
          <cell r="I4" t="str">
            <v>CONSULTANT:MEINHARDT SINGAPORE PTE LTD.</v>
          </cell>
        </row>
        <row r="6">
          <cell r="A6" t="str">
            <v>CIRCUIT/</v>
          </cell>
          <cell r="B6" t="str">
            <v>SP/</v>
          </cell>
          <cell r="C6" t="str">
            <v>RATING - AMPS</v>
          </cell>
          <cell r="F6" t="str">
            <v>Isc FAULT</v>
          </cell>
          <cell r="G6" t="str">
            <v>FR or
XLPE</v>
          </cell>
          <cell r="H6" t="str">
            <v>CABLE SIZE</v>
          </cell>
          <cell r="J6" t="str">
            <v>ECC
SIZE-</v>
          </cell>
          <cell r="K6" t="str">
            <v>CONNECTED LOAD - KW</v>
          </cell>
          <cell r="N6" t="str">
            <v>PROPOSED TYPE &amp; NO. OF
KWH METERS</v>
          </cell>
        </row>
        <row r="7">
          <cell r="A7" t="str">
            <v>FEEDER
DB No.</v>
          </cell>
          <cell r="B7" t="str">
            <v>TP</v>
          </cell>
          <cell r="C7" t="str">
            <v>F/S
ISO</v>
          </cell>
          <cell r="D7" t="str">
            <v>MCCB</v>
          </cell>
          <cell r="E7" t="str">
            <v>MCB</v>
          </cell>
          <cell r="F7" t="str">
            <v>DUTY
KA</v>
          </cell>
          <cell r="G7" t="str">
            <v>SWA/
LS0H</v>
          </cell>
          <cell r="H7" t="str">
            <v>2/4 X1C
mm^2</v>
          </cell>
          <cell r="I7" t="str">
            <v>2/3/4C
mm^2</v>
          </cell>
          <cell r="J7" t="str">
            <v>1c
mm^2</v>
          </cell>
          <cell r="K7" t="str">
            <v>R-PH
KW</v>
          </cell>
          <cell r="L7" t="str">
            <v>Y-PH
KW</v>
          </cell>
          <cell r="M7" t="str">
            <v>B-PH
KW</v>
          </cell>
          <cell r="N7" t="str">
            <v>1 - PH
(1)</v>
          </cell>
          <cell r="O7" t="str">
            <v>3 - PH
(2)</v>
          </cell>
          <cell r="P7" t="str">
            <v>3 - PH
(3)</v>
          </cell>
          <cell r="Q7" t="str">
            <v>LV/H
CT (4)</v>
          </cell>
          <cell r="R7" t="str">
            <v>REMARKS</v>
          </cell>
        </row>
        <row r="8">
          <cell r="A8" t="str">
            <v>INCOMER (NON AUTO)</v>
          </cell>
          <cell r="B8" t="str">
            <v>TP</v>
          </cell>
          <cell r="D8">
            <v>100</v>
          </cell>
          <cell r="F8">
            <v>35</v>
          </cell>
          <cell r="G8" t="str">
            <v>FR/SWA/ LSOH</v>
          </cell>
          <cell r="I8" t="str">
            <v>4c 35</v>
          </cell>
          <cell r="J8" t="str">
            <v>1c 16</v>
          </cell>
          <cell r="K8">
            <v>10.683333333333334</v>
          </cell>
          <cell r="L8">
            <v>10.683333333333334</v>
          </cell>
          <cell r="M8">
            <v>10.433333333333334</v>
          </cell>
        </row>
        <row r="9">
          <cell r="A9" t="str">
            <v>OUTGOING</v>
          </cell>
        </row>
        <row r="10">
          <cell r="A10" t="str">
            <v>SPF-GT-RD-1a (DUTY)</v>
          </cell>
          <cell r="B10" t="str">
            <v>TP</v>
          </cell>
          <cell r="D10">
            <v>40</v>
          </cell>
          <cell r="F10">
            <v>22</v>
          </cell>
          <cell r="G10" t="str">
            <v>FR/SWA/ LSOH</v>
          </cell>
          <cell r="I10" t="str">
            <v>2 x 3c 16</v>
          </cell>
          <cell r="J10" t="str">
            <v>1c 16</v>
          </cell>
          <cell r="K10">
            <v>4.9666666666666668</v>
          </cell>
          <cell r="L10">
            <v>4.9666666666666668</v>
          </cell>
          <cell r="M10">
            <v>4.9666666666666668</v>
          </cell>
          <cell r="R10" t="str">
            <v>100mA ELCB + S/D STARTER</v>
          </cell>
        </row>
        <row r="11">
          <cell r="A11" t="str">
            <v>SPF-GT-RD-2a (DUTY)</v>
          </cell>
          <cell r="B11" t="str">
            <v>TP</v>
          </cell>
          <cell r="D11">
            <v>40</v>
          </cell>
          <cell r="F11">
            <v>22</v>
          </cell>
          <cell r="G11" t="str">
            <v>FR/SWA/ LSOH</v>
          </cell>
          <cell r="I11" t="str">
            <v>2 x 3c 16</v>
          </cell>
          <cell r="J11" t="str">
            <v>1c 16</v>
          </cell>
          <cell r="K11">
            <v>4.9666666666666668</v>
          </cell>
          <cell r="L11">
            <v>4.9666666666666668</v>
          </cell>
          <cell r="M11">
            <v>4.9666666666666668</v>
          </cell>
          <cell r="R11" t="str">
            <v>100mA ELCB + S/D STARTER</v>
          </cell>
        </row>
        <row r="12">
          <cell r="A12" t="str">
            <v>SPF-GT-RD-1b (STAND BY)</v>
          </cell>
          <cell r="B12" t="str">
            <v>TP</v>
          </cell>
          <cell r="D12">
            <v>40</v>
          </cell>
          <cell r="F12">
            <v>22</v>
          </cell>
          <cell r="G12" t="str">
            <v>FR/SWA/ LSOH</v>
          </cell>
          <cell r="I12" t="str">
            <v>2 x 3c 16</v>
          </cell>
          <cell r="J12" t="str">
            <v>1c 16</v>
          </cell>
          <cell r="R12" t="str">
            <v>100mA ELCB + S/D STARTER</v>
          </cell>
        </row>
        <row r="13">
          <cell r="A13" t="str">
            <v>SPF-GT-RD-2b (STAND BY)</v>
          </cell>
          <cell r="B13" t="str">
            <v>TP</v>
          </cell>
          <cell r="D13">
            <v>40</v>
          </cell>
          <cell r="F13">
            <v>22</v>
          </cell>
          <cell r="G13" t="str">
            <v>FR/SWA/ LSOH</v>
          </cell>
          <cell r="I13" t="str">
            <v>2 x 3c 16</v>
          </cell>
          <cell r="J13" t="str">
            <v>1c 16</v>
          </cell>
          <cell r="R13" t="str">
            <v>100mA ELCB + S/D STARTER</v>
          </cell>
        </row>
        <row r="14">
          <cell r="A14" t="str">
            <v>SVF-GT-RD-1</v>
          </cell>
          <cell r="B14" t="str">
            <v>TP</v>
          </cell>
          <cell r="D14">
            <v>10</v>
          </cell>
          <cell r="F14">
            <v>22</v>
          </cell>
          <cell r="G14" t="str">
            <v>XLPE/SWA/ LSOH</v>
          </cell>
          <cell r="I14" t="str">
            <v>2c 1.5</v>
          </cell>
          <cell r="J14" t="str">
            <v>1c 1.5</v>
          </cell>
          <cell r="K14">
            <v>0.75</v>
          </cell>
          <cell r="R14" t="str">
            <v>100mA ELCB + DOL STARTER</v>
          </cell>
        </row>
        <row r="15">
          <cell r="A15" t="str">
            <v>SVF-GT-RD-2</v>
          </cell>
          <cell r="B15" t="str">
            <v>TP</v>
          </cell>
          <cell r="D15">
            <v>10</v>
          </cell>
          <cell r="F15">
            <v>22</v>
          </cell>
          <cell r="G15" t="str">
            <v>XLPE/SWA/ LSOH</v>
          </cell>
          <cell r="I15" t="str">
            <v>2c 1.5</v>
          </cell>
          <cell r="J15" t="str">
            <v>1c 1.5</v>
          </cell>
          <cell r="L15">
            <v>0.75</v>
          </cell>
          <cell r="R15" t="str">
            <v>100mA ELCB + DOL STARTER</v>
          </cell>
        </row>
        <row r="16">
          <cell r="A16" t="str">
            <v>CONTROLS</v>
          </cell>
          <cell r="B16" t="str">
            <v>SP</v>
          </cell>
          <cell r="D16">
            <v>10</v>
          </cell>
          <cell r="F16">
            <v>22</v>
          </cell>
          <cell r="G16" t="str">
            <v>FR/SWA/ LSOH</v>
          </cell>
          <cell r="I16" t="str">
            <v>2c 1.5</v>
          </cell>
          <cell r="M16">
            <v>0.5</v>
          </cell>
        </row>
        <row r="22">
          <cell r="A22" t="str">
            <v xml:space="preserve"> </v>
          </cell>
        </row>
        <row r="23">
          <cell r="A23" t="str">
            <v>CONNECTED TO :</v>
          </cell>
          <cell r="B23" t="str">
            <v>MCPE-MG-R-1</v>
          </cell>
          <cell r="F23" t="str">
            <v>TOTAL CONNECTED LOAD PER PHASE</v>
          </cell>
          <cell r="K23">
            <v>10.683333333333334</v>
          </cell>
          <cell r="L23">
            <v>10.683333333333334</v>
          </cell>
          <cell r="M23">
            <v>10.433333333333334</v>
          </cell>
          <cell r="R23" t="str">
            <v>TOTAL</v>
          </cell>
        </row>
        <row r="26">
          <cell r="A26" t="str">
            <v xml:space="preserve">MAX. DEMAND (3 PH.):   </v>
          </cell>
          <cell r="B26">
            <v>31.8</v>
          </cell>
          <cell r="C26" t="str">
            <v>kW</v>
          </cell>
          <cell r="D26" t="str">
            <v xml:space="preserve">AT </v>
          </cell>
          <cell r="E26">
            <v>1</v>
          </cell>
          <cell r="F26" t="str">
            <v>DIVERSITY</v>
          </cell>
          <cell r="J26" t="str">
            <v xml:space="preserve">TOTAL CONNECTED LOAD(3 PH)   </v>
          </cell>
          <cell r="N26">
            <v>31.8</v>
          </cell>
          <cell r="O26" t="str">
            <v>kW</v>
          </cell>
        </row>
        <row r="29">
          <cell r="A29" t="str">
            <v>CONTRACTOR:</v>
          </cell>
          <cell r="K29" t="str">
            <v xml:space="preserve">TEL: </v>
          </cell>
          <cell r="O29" t="str">
            <v xml:space="preserve">FAX: </v>
          </cell>
        </row>
        <row r="31">
          <cell r="A31" t="str">
            <v>Type of Meter (Rating of Incomer):</v>
          </cell>
          <cell r="F31" t="str">
            <v>(1)  Upto 60A</v>
          </cell>
          <cell r="H31" t="str">
            <v>(2)  Upto 100 A</v>
          </cell>
          <cell r="K31" t="str">
            <v>(3)  125 - 160 A</v>
          </cell>
          <cell r="M31" t="str">
            <v>(4)  LV CT ..2500/5.......A</v>
          </cell>
          <cell r="Q31" t="str">
            <v>HV  CT .........../..........A</v>
          </cell>
        </row>
        <row r="32">
          <cell r="F32" t="str">
            <v xml:space="preserve">       (1 Phase)</v>
          </cell>
          <cell r="H32" t="str">
            <v xml:space="preserve">       (3 Phase)</v>
          </cell>
          <cell r="K32" t="str">
            <v xml:space="preserve">       </v>
          </cell>
        </row>
      </sheetData>
      <sheetData sheetId="3" refreshError="1"/>
      <sheetData sheetId="4">
        <row r="1">
          <cell r="A1" t="str">
            <v>PROJECT: DUBAI MARINA MALL &amp; HOTEL/APARTMENTS</v>
          </cell>
          <cell r="I1" t="str">
            <v>DETAILS OF CONNECTED LOAD/ MAX. DEMAND</v>
          </cell>
        </row>
        <row r="2">
          <cell r="I2" t="str">
            <v>OWNER:</v>
          </cell>
          <cell r="J2" t="str">
            <v>EMAAR PROPERTIES PSJC</v>
          </cell>
          <cell r="O2" t="str">
            <v>AREA:</v>
          </cell>
          <cell r="Q2" t="str">
            <v>DUBAI,UNITED ARAB EMIRATES</v>
          </cell>
        </row>
        <row r="3">
          <cell r="E3" t="str">
            <v xml:space="preserve"> </v>
          </cell>
          <cell r="O3" t="str">
            <v xml:space="preserve"> LOCATION OF MCP: </v>
          </cell>
          <cell r="R3" t="str">
            <v>ROOF DECK</v>
          </cell>
        </row>
        <row r="4">
          <cell r="A4" t="str">
            <v xml:space="preserve">MDB / SMDB </v>
          </cell>
          <cell r="B4" t="str">
            <v>LMCP-SEF-GT-RD-1(TYP TO LMCP-SEF-GT-RD-2)</v>
          </cell>
          <cell r="I4" t="str">
            <v>CONSULTANT:MEINHARDT SINGAPORE PTE LTD.</v>
          </cell>
        </row>
        <row r="6">
          <cell r="A6" t="str">
            <v>CIRCUIT/</v>
          </cell>
          <cell r="B6" t="str">
            <v>SP/</v>
          </cell>
          <cell r="C6" t="str">
            <v>RATING - AMPS</v>
          </cell>
          <cell r="F6" t="str">
            <v>Isc FAULT</v>
          </cell>
          <cell r="G6" t="str">
            <v>FR or
XLPE</v>
          </cell>
          <cell r="H6" t="str">
            <v>CABLE SIZE</v>
          </cell>
          <cell r="J6" t="str">
            <v>ECC
SIZE-</v>
          </cell>
          <cell r="K6" t="str">
            <v>CONNECTED LOAD - KW</v>
          </cell>
          <cell r="N6" t="str">
            <v>PROPOSED TYPE &amp; NO. OF
KWH METERS</v>
          </cell>
        </row>
        <row r="7">
          <cell r="A7" t="str">
            <v>FEEDER
DB No.</v>
          </cell>
          <cell r="B7" t="str">
            <v>TP</v>
          </cell>
          <cell r="C7" t="str">
            <v>F/S
ISO</v>
          </cell>
          <cell r="D7" t="str">
            <v>MCCB</v>
          </cell>
          <cell r="E7" t="str">
            <v>MCB</v>
          </cell>
          <cell r="F7" t="str">
            <v>DUTY
KA</v>
          </cell>
          <cell r="G7" t="str">
            <v>SWA/
LS0H</v>
          </cell>
          <cell r="H7" t="str">
            <v>2/4 X1C
mm^2</v>
          </cell>
          <cell r="I7" t="str">
            <v>2/3/4C
mm^2</v>
          </cell>
          <cell r="J7" t="str">
            <v>1c
mm^2</v>
          </cell>
          <cell r="K7" t="str">
            <v>R-PH
KW</v>
          </cell>
          <cell r="L7" t="str">
            <v>Y-PH
KW</v>
          </cell>
          <cell r="M7" t="str">
            <v>B-PH
KW</v>
          </cell>
          <cell r="N7" t="str">
            <v>1 - PH
(1)</v>
          </cell>
          <cell r="O7" t="str">
            <v>3 - PH
(2)</v>
          </cell>
          <cell r="P7" t="str">
            <v>3 - PH
(3)</v>
          </cell>
          <cell r="Q7" t="str">
            <v>LV/H
CT (4)</v>
          </cell>
          <cell r="R7" t="str">
            <v>REMARKS</v>
          </cell>
        </row>
        <row r="8">
          <cell r="A8" t="str">
            <v>INCOMER (NON AUTO)</v>
          </cell>
          <cell r="B8" t="str">
            <v>TP</v>
          </cell>
          <cell r="D8">
            <v>250</v>
          </cell>
          <cell r="F8">
            <v>50</v>
          </cell>
          <cell r="G8" t="str">
            <v>FR/SWA/ LSOH</v>
          </cell>
          <cell r="I8" t="str">
            <v>4c 150</v>
          </cell>
          <cell r="J8" t="str">
            <v>1c 50</v>
          </cell>
          <cell r="K8">
            <v>30.300000000000004</v>
          </cell>
          <cell r="L8">
            <v>29.800000000000004</v>
          </cell>
          <cell r="M8">
            <v>29.800000000000004</v>
          </cell>
        </row>
        <row r="9">
          <cell r="A9" t="str">
            <v>OUTGOING</v>
          </cell>
        </row>
        <row r="10">
          <cell r="A10" t="str">
            <v>SEF-GT-RD-1a</v>
          </cell>
          <cell r="B10" t="str">
            <v>TP</v>
          </cell>
          <cell r="D10">
            <v>40</v>
          </cell>
          <cell r="F10">
            <v>22</v>
          </cell>
          <cell r="G10" t="str">
            <v>FR/SWA/ LSOH</v>
          </cell>
          <cell r="I10" t="str">
            <v>2 x 3c 16</v>
          </cell>
          <cell r="J10" t="str">
            <v>1c 16</v>
          </cell>
          <cell r="K10">
            <v>4.9666666666666668</v>
          </cell>
          <cell r="L10">
            <v>4.9666666666666668</v>
          </cell>
          <cell r="M10">
            <v>4.9666666666666668</v>
          </cell>
          <cell r="R10" t="str">
            <v>100mA ELCB + S/D STARTER</v>
          </cell>
        </row>
        <row r="11">
          <cell r="A11" t="str">
            <v>SEF-GT-RD-1b</v>
          </cell>
          <cell r="B11" t="str">
            <v>TP</v>
          </cell>
          <cell r="D11">
            <v>40</v>
          </cell>
          <cell r="F11">
            <v>22</v>
          </cell>
          <cell r="G11" t="str">
            <v>FR/SWA/ LSOH</v>
          </cell>
          <cell r="I11" t="str">
            <v>2 x 3c 16</v>
          </cell>
          <cell r="J11" t="str">
            <v>1c 16</v>
          </cell>
          <cell r="K11">
            <v>4.9666666666666668</v>
          </cell>
          <cell r="L11">
            <v>4.9666666666666668</v>
          </cell>
          <cell r="M11">
            <v>4.9666666666666668</v>
          </cell>
          <cell r="R11" t="str">
            <v>100mA ELCB + S/D STARTER</v>
          </cell>
        </row>
        <row r="12">
          <cell r="A12" t="str">
            <v>SEF-GT-RD-1c</v>
          </cell>
          <cell r="B12" t="str">
            <v>TP</v>
          </cell>
          <cell r="D12">
            <v>40</v>
          </cell>
          <cell r="F12">
            <v>22</v>
          </cell>
          <cell r="G12" t="str">
            <v>FR/SWA/ LSOH</v>
          </cell>
          <cell r="I12" t="str">
            <v>2 x 3c 16</v>
          </cell>
          <cell r="J12" t="str">
            <v>1c 16</v>
          </cell>
          <cell r="K12">
            <v>4.9666666666666668</v>
          </cell>
          <cell r="L12">
            <v>4.9666666666666668</v>
          </cell>
          <cell r="M12">
            <v>4.9666666666666668</v>
          </cell>
          <cell r="R12" t="str">
            <v>100mA ELCB + S/D STARTER</v>
          </cell>
        </row>
        <row r="13">
          <cell r="A13" t="str">
            <v>SEF-GT-RD-1d</v>
          </cell>
          <cell r="B13" t="str">
            <v>TP</v>
          </cell>
          <cell r="D13">
            <v>40</v>
          </cell>
          <cell r="F13">
            <v>22</v>
          </cell>
          <cell r="G13" t="str">
            <v>FR/SWA/ LSOH</v>
          </cell>
          <cell r="I13" t="str">
            <v>2 x 3c 16</v>
          </cell>
          <cell r="J13" t="str">
            <v>1c 16</v>
          </cell>
          <cell r="K13">
            <v>4.9666666666666668</v>
          </cell>
          <cell r="L13">
            <v>4.9666666666666668</v>
          </cell>
          <cell r="M13">
            <v>4.9666666666666668</v>
          </cell>
          <cell r="R13" t="str">
            <v>100mA ELCB + S/D STARTER</v>
          </cell>
        </row>
        <row r="14">
          <cell r="A14" t="str">
            <v>SEF-GT-RD-1e</v>
          </cell>
          <cell r="B14" t="str">
            <v>TP</v>
          </cell>
          <cell r="D14">
            <v>40</v>
          </cell>
          <cell r="F14">
            <v>22</v>
          </cell>
          <cell r="G14" t="str">
            <v>FR/SWA/ LSOH</v>
          </cell>
          <cell r="I14" t="str">
            <v>2 x 3c 16</v>
          </cell>
          <cell r="J14" t="str">
            <v>1c 16</v>
          </cell>
          <cell r="K14">
            <v>4.9666666666666668</v>
          </cell>
          <cell r="L14">
            <v>4.9666666666666668</v>
          </cell>
          <cell r="M14">
            <v>4.9666666666666668</v>
          </cell>
          <cell r="R14" t="str">
            <v>100mA ELCB + S/D STARTER</v>
          </cell>
        </row>
        <row r="15">
          <cell r="A15" t="str">
            <v>SEF-GT-RD-1f</v>
          </cell>
          <cell r="B15" t="str">
            <v>TP</v>
          </cell>
          <cell r="D15">
            <v>40</v>
          </cell>
          <cell r="F15">
            <v>22</v>
          </cell>
          <cell r="G15" t="str">
            <v>FR/SWA/ LSOH</v>
          </cell>
          <cell r="I15" t="str">
            <v>2 x 3c 16</v>
          </cell>
          <cell r="J15" t="str">
            <v>1c 16</v>
          </cell>
          <cell r="K15">
            <v>4.9666666666666668</v>
          </cell>
          <cell r="L15">
            <v>4.9666666666666668</v>
          </cell>
          <cell r="M15">
            <v>4.9666666666666668</v>
          </cell>
          <cell r="R15" t="str">
            <v>100mA ELCB + S/D STARTER</v>
          </cell>
        </row>
        <row r="16">
          <cell r="A16" t="str">
            <v>CONTROLS</v>
          </cell>
          <cell r="B16" t="str">
            <v>SP</v>
          </cell>
          <cell r="D16">
            <v>10</v>
          </cell>
          <cell r="F16">
            <v>22</v>
          </cell>
          <cell r="G16" t="str">
            <v>FR/SWA/ LSOH</v>
          </cell>
          <cell r="I16" t="str">
            <v>2c 1.5</v>
          </cell>
          <cell r="K16">
            <v>0.5</v>
          </cell>
        </row>
        <row r="22">
          <cell r="A22" t="str">
            <v xml:space="preserve"> </v>
          </cell>
        </row>
        <row r="23">
          <cell r="A23" t="str">
            <v>CONNECTED TO :</v>
          </cell>
          <cell r="B23" t="str">
            <v>MCPE-MG-R-1</v>
          </cell>
          <cell r="F23" t="str">
            <v>TOTAL CONNECTED LOAD PER PHASE</v>
          </cell>
          <cell r="K23">
            <v>30.300000000000004</v>
          </cell>
          <cell r="L23">
            <v>29.800000000000004</v>
          </cell>
          <cell r="M23">
            <v>29.800000000000004</v>
          </cell>
          <cell r="R23" t="str">
            <v>TOTAL</v>
          </cell>
        </row>
        <row r="26">
          <cell r="A26" t="str">
            <v xml:space="preserve">MAX. DEMAND (3 PH.):   </v>
          </cell>
          <cell r="B26">
            <v>89.9</v>
          </cell>
          <cell r="C26" t="str">
            <v>kW</v>
          </cell>
          <cell r="D26" t="str">
            <v xml:space="preserve">AT </v>
          </cell>
          <cell r="E26">
            <v>1</v>
          </cell>
          <cell r="F26" t="str">
            <v>DIVERSITY</v>
          </cell>
          <cell r="J26" t="str">
            <v xml:space="preserve">TOTAL CONNECTED LOAD(3 PH)   </v>
          </cell>
          <cell r="N26">
            <v>89.9</v>
          </cell>
          <cell r="O26" t="str">
            <v>kW</v>
          </cell>
        </row>
        <row r="29">
          <cell r="A29" t="str">
            <v>CONTRACTOR:</v>
          </cell>
          <cell r="K29" t="str">
            <v xml:space="preserve">TEL: </v>
          </cell>
          <cell r="O29" t="str">
            <v xml:space="preserve">FAX: </v>
          </cell>
        </row>
        <row r="31">
          <cell r="A31" t="str">
            <v>Type of Meter (Rating of Incomer):</v>
          </cell>
          <cell r="F31" t="str">
            <v>(1)  Upto 60A</v>
          </cell>
          <cell r="H31" t="str">
            <v>(2)  Upto 100 A</v>
          </cell>
          <cell r="K31" t="str">
            <v>(3)  125 - 160 A</v>
          </cell>
          <cell r="M31" t="str">
            <v>(4)  LV CT ..2500/5.......A</v>
          </cell>
          <cell r="Q31" t="str">
            <v>HV  CT .........../..........A</v>
          </cell>
        </row>
        <row r="32">
          <cell r="F32" t="str">
            <v xml:space="preserve">       (1 Phase)</v>
          </cell>
          <cell r="H32" t="str">
            <v xml:space="preserve">       (3 Phase)</v>
          </cell>
          <cell r="K32" t="str">
            <v xml:space="preserve">       </v>
          </cell>
        </row>
      </sheetData>
      <sheetData sheetId="5">
        <row r="1">
          <cell r="A1" t="str">
            <v>PROJECT: DUBAI MARINA MALL &amp; HOTEL/APARTMENT</v>
          </cell>
          <cell r="I1" t="str">
            <v>DETAILS OF CONNECTED LOAD/ MAX. DEMAND</v>
          </cell>
        </row>
        <row r="2">
          <cell r="I2" t="str">
            <v>OWNER:</v>
          </cell>
          <cell r="J2" t="str">
            <v>EMAAR PROPERTIES PSJC</v>
          </cell>
          <cell r="O2" t="str">
            <v>AREA:</v>
          </cell>
          <cell r="Q2" t="str">
            <v>DUBAI,UNITED ARAB EMIRATES</v>
          </cell>
        </row>
        <row r="3">
          <cell r="E3" t="str">
            <v xml:space="preserve"> </v>
          </cell>
          <cell r="O3" t="str">
            <v xml:space="preserve"> LOCATION OF MCP: </v>
          </cell>
          <cell r="R3" t="str">
            <v>ROOF DECK (GOURMET)</v>
          </cell>
        </row>
        <row r="4">
          <cell r="A4" t="str">
            <v xml:space="preserve">MDB / SMDB </v>
          </cell>
          <cell r="B4" t="str">
            <v>MCPE-MG-R-1</v>
          </cell>
          <cell r="I4" t="str">
            <v>CONSULTANT:MEINHARDT SINGAPORE PTE LTD.</v>
          </cell>
        </row>
        <row r="6">
          <cell r="A6" t="str">
            <v>CIRCUIT/</v>
          </cell>
          <cell r="B6" t="str">
            <v>SP/</v>
          </cell>
          <cell r="C6" t="str">
            <v>RATING - AMPS</v>
          </cell>
          <cell r="F6" t="str">
            <v>Isc FAULT</v>
          </cell>
          <cell r="G6" t="str">
            <v>FR or
XLPE</v>
          </cell>
          <cell r="H6" t="str">
            <v>CABLE SIZE</v>
          </cell>
          <cell r="J6" t="str">
            <v>ECC
SIZE-</v>
          </cell>
          <cell r="K6" t="str">
            <v>CONNECTED LOAD - KW</v>
          </cell>
          <cell r="N6" t="str">
            <v>PROPOSED TYPE &amp; NO. OF
KWH METERS</v>
          </cell>
        </row>
        <row r="7">
          <cell r="A7" t="str">
            <v>FEEDER
DB No.</v>
          </cell>
          <cell r="B7" t="str">
            <v>TP</v>
          </cell>
          <cell r="C7" t="str">
            <v>F/S
ISO</v>
          </cell>
          <cell r="D7" t="str">
            <v>MCCB</v>
          </cell>
          <cell r="E7" t="str">
            <v>MCB</v>
          </cell>
          <cell r="F7" t="str">
            <v>DUTY
KA</v>
          </cell>
          <cell r="G7" t="str">
            <v>SWA/
LS0H</v>
          </cell>
          <cell r="H7" t="str">
            <v>2/4 X1C
mm^2</v>
          </cell>
          <cell r="I7" t="str">
            <v>2/3/4C
mm^2</v>
          </cell>
          <cell r="J7" t="str">
            <v>1c
mm^2</v>
          </cell>
          <cell r="K7" t="str">
            <v>R-PH
KW</v>
          </cell>
          <cell r="L7" t="str">
            <v>Y-PH
KW</v>
          </cell>
          <cell r="M7" t="str">
            <v>B-PH
KW</v>
          </cell>
          <cell r="N7" t="str">
            <v>1 - PH
(1)</v>
          </cell>
          <cell r="O7" t="str">
            <v>3 - PH
(2)</v>
          </cell>
          <cell r="P7" t="str">
            <v>3 - PH
(3)</v>
          </cell>
          <cell r="Q7" t="str">
            <v>LV/H
CT (4)</v>
          </cell>
          <cell r="R7" t="str">
            <v>REMARKS</v>
          </cell>
        </row>
        <row r="8">
          <cell r="A8" t="str">
            <v>INCOMER (NON AUTO)</v>
          </cell>
          <cell r="B8" t="str">
            <v>TP</v>
          </cell>
          <cell r="D8">
            <v>630</v>
          </cell>
          <cell r="F8">
            <v>50</v>
          </cell>
          <cell r="G8" t="str">
            <v>FR/SWA/ LSOH</v>
          </cell>
          <cell r="I8" t="str">
            <v>2x4c 240</v>
          </cell>
          <cell r="J8" t="str">
            <v>1c 240</v>
          </cell>
          <cell r="K8">
            <v>71.283333333333346</v>
          </cell>
          <cell r="L8">
            <v>70.283333333333346</v>
          </cell>
          <cell r="M8">
            <v>70.033333333333346</v>
          </cell>
        </row>
        <row r="9">
          <cell r="A9" t="str">
            <v>OUTGOING</v>
          </cell>
        </row>
        <row r="10">
          <cell r="A10" t="str">
            <v>I-LMCP-SEF-GT-RD-1</v>
          </cell>
          <cell r="B10" t="str">
            <v>TP</v>
          </cell>
          <cell r="D10">
            <v>250</v>
          </cell>
          <cell r="F10">
            <v>50</v>
          </cell>
          <cell r="G10" t="str">
            <v>FR/SWA/ LSOH</v>
          </cell>
          <cell r="I10" t="str">
            <v>4c 150</v>
          </cell>
          <cell r="J10" t="str">
            <v>1c 50</v>
          </cell>
          <cell r="K10">
            <v>30.300000000000004</v>
          </cell>
          <cell r="L10">
            <v>29.800000000000004</v>
          </cell>
          <cell r="M10">
            <v>29.800000000000004</v>
          </cell>
        </row>
        <row r="11">
          <cell r="A11" t="str">
            <v>I-LMCP-SEF-GT-RD-2</v>
          </cell>
          <cell r="B11" t="str">
            <v>TP</v>
          </cell>
          <cell r="D11">
            <v>250</v>
          </cell>
          <cell r="F11">
            <v>50</v>
          </cell>
          <cell r="G11" t="str">
            <v>FR/SWA/ LSOH</v>
          </cell>
          <cell r="I11" t="str">
            <v>4c 150</v>
          </cell>
          <cell r="J11" t="str">
            <v>1c 50</v>
          </cell>
          <cell r="K11">
            <v>30.300000000000004</v>
          </cell>
          <cell r="L11">
            <v>29.800000000000004</v>
          </cell>
          <cell r="M11">
            <v>29.800000000000004</v>
          </cell>
        </row>
        <row r="12">
          <cell r="A12" t="str">
            <v xml:space="preserve">I-LMCP-SPF-GT-RD-1 </v>
          </cell>
          <cell r="B12" t="str">
            <v>TP</v>
          </cell>
          <cell r="D12">
            <v>100</v>
          </cell>
          <cell r="F12">
            <v>35</v>
          </cell>
          <cell r="G12" t="str">
            <v>FR/SWA/ LSOH</v>
          </cell>
          <cell r="I12" t="str">
            <v>4c 35</v>
          </cell>
          <cell r="J12" t="str">
            <v>1c 16</v>
          </cell>
          <cell r="K12">
            <v>10.683333333333334</v>
          </cell>
          <cell r="L12">
            <v>10.683333333333334</v>
          </cell>
          <cell r="M12">
            <v>10.433333333333334</v>
          </cell>
        </row>
        <row r="24">
          <cell r="A24" t="str">
            <v xml:space="preserve"> </v>
          </cell>
        </row>
        <row r="25">
          <cell r="A25" t="str">
            <v xml:space="preserve">CONNECTED TO : </v>
          </cell>
          <cell r="B25" t="str">
            <v>SBE-MG-G-1</v>
          </cell>
          <cell r="F25" t="str">
            <v>TOTAL CONNECTED LOAD PER PHASE</v>
          </cell>
          <cell r="K25">
            <v>71.283333333333346</v>
          </cell>
          <cell r="L25">
            <v>70.283333333333346</v>
          </cell>
          <cell r="M25">
            <v>70.033333333333346</v>
          </cell>
          <cell r="R25" t="str">
            <v>TOTAL</v>
          </cell>
        </row>
        <row r="28">
          <cell r="A28" t="str">
            <v xml:space="preserve">MAX. DEMAND (3 PH.):   </v>
          </cell>
          <cell r="B28">
            <v>190.44000000000003</v>
          </cell>
          <cell r="C28" t="str">
            <v>kW</v>
          </cell>
          <cell r="D28" t="str">
            <v xml:space="preserve">AT </v>
          </cell>
          <cell r="E28">
            <v>0.9</v>
          </cell>
          <cell r="F28" t="str">
            <v>DIVERSITY</v>
          </cell>
          <cell r="J28" t="str">
            <v xml:space="preserve">TOTAL CONNECTED LOAD(3 PH)   </v>
          </cell>
          <cell r="N28">
            <v>211.60000000000002</v>
          </cell>
          <cell r="O28" t="str">
            <v>kW</v>
          </cell>
        </row>
        <row r="31">
          <cell r="A31" t="str">
            <v>CONTRACTOR:</v>
          </cell>
          <cell r="K31" t="str">
            <v xml:space="preserve">TEL: </v>
          </cell>
          <cell r="O31" t="str">
            <v xml:space="preserve">FAX: </v>
          </cell>
        </row>
        <row r="33">
          <cell r="A33" t="str">
            <v>Type of Meter (Rating of Incomer):</v>
          </cell>
          <cell r="F33" t="str">
            <v>(1)  Upto 60A</v>
          </cell>
          <cell r="H33" t="str">
            <v>(2)  Upto 100 A</v>
          </cell>
          <cell r="K33" t="str">
            <v>(3)  125 - 160 A</v>
          </cell>
          <cell r="M33" t="str">
            <v>(4)  LV CT ..2500/5.......A</v>
          </cell>
          <cell r="Q33" t="str">
            <v>HV  CT .........../..........A</v>
          </cell>
        </row>
        <row r="34">
          <cell r="F34" t="str">
            <v xml:space="preserve">       (1 Phase)</v>
          </cell>
          <cell r="H34" t="str">
            <v xml:space="preserve">       (3 Phase)</v>
          </cell>
          <cell r="K34" t="str">
            <v xml:space="preserve">       </v>
          </cell>
        </row>
      </sheetData>
      <sheetData sheetId="6">
        <row r="1">
          <cell r="A1" t="str">
            <v>PROJECT: DUBAI MARINA MALL &amp; HOTEL APARTMENTS</v>
          </cell>
          <cell r="I1" t="str">
            <v>DETAILS OF CONNECTED LOAD/ MAX. DEMAND</v>
          </cell>
        </row>
        <row r="2">
          <cell r="I2" t="str">
            <v>OWNER:</v>
          </cell>
          <cell r="J2" t="str">
            <v>EMAAR PROPERTIES PSJC</v>
          </cell>
          <cell r="O2" t="str">
            <v>AREA:</v>
          </cell>
          <cell r="Q2" t="str">
            <v>DUBAI,UNITED ARAB EMIRATES</v>
          </cell>
        </row>
        <row r="3">
          <cell r="E3" t="str">
            <v xml:space="preserve"> </v>
          </cell>
          <cell r="O3" t="str">
            <v xml:space="preserve"> LOCATION OF MCP: </v>
          </cell>
          <cell r="R3" t="str">
            <v>GROUND MEZZ. FLOOR</v>
          </cell>
        </row>
        <row r="4">
          <cell r="A4" t="str">
            <v xml:space="preserve">MDB / SMDB </v>
          </cell>
          <cell r="B4" t="str">
            <v>LMCP-LPF-GT-GM-1</v>
          </cell>
          <cell r="I4" t="str">
            <v>CONSULTANT:MEINHARDT SINGAPORE PTE LTD.</v>
          </cell>
        </row>
        <row r="6">
          <cell r="A6" t="str">
            <v>CIRCUIT/</v>
          </cell>
          <cell r="B6" t="str">
            <v>SP/</v>
          </cell>
          <cell r="C6" t="str">
            <v>RATING - AMPS</v>
          </cell>
          <cell r="F6" t="str">
            <v>Isc FAULT</v>
          </cell>
          <cell r="G6" t="str">
            <v>FR or
XLPE</v>
          </cell>
          <cell r="H6" t="str">
            <v>CABLE SIZE</v>
          </cell>
          <cell r="J6" t="str">
            <v>ECC
SIZE-</v>
          </cell>
          <cell r="K6" t="str">
            <v>CONNECTED LOAD - KW</v>
          </cell>
          <cell r="N6" t="str">
            <v>PROPOSED TYPE &amp; NO. OF
KWH METERS</v>
          </cell>
        </row>
        <row r="7">
          <cell r="A7" t="str">
            <v>FEEDER
DB No.</v>
          </cell>
          <cell r="B7" t="str">
            <v>TP</v>
          </cell>
          <cell r="C7" t="str">
            <v>F/S
ISO</v>
          </cell>
          <cell r="D7" t="str">
            <v>MCCB</v>
          </cell>
          <cell r="E7" t="str">
            <v>MCB</v>
          </cell>
          <cell r="F7" t="str">
            <v>DUTY
KA</v>
          </cell>
          <cell r="G7" t="str">
            <v>SWA/
LS0H</v>
          </cell>
          <cell r="H7" t="str">
            <v>2/4 X1C
mm^2</v>
          </cell>
          <cell r="I7" t="str">
            <v>2/3/4C
mm^2</v>
          </cell>
          <cell r="J7" t="str">
            <v>1c
mm^2</v>
          </cell>
          <cell r="K7" t="str">
            <v>R-PH
KW</v>
          </cell>
          <cell r="L7" t="str">
            <v>Y-PH
KW</v>
          </cell>
          <cell r="M7" t="str">
            <v>B-PH
KW</v>
          </cell>
          <cell r="N7" t="str">
            <v>1 - PH
(1)</v>
          </cell>
          <cell r="O7" t="str">
            <v>3 - PH
(2)</v>
          </cell>
          <cell r="P7" t="str">
            <v>3 - PH
(3)</v>
          </cell>
          <cell r="Q7" t="str">
            <v>LV/H
CT (4)</v>
          </cell>
          <cell r="R7" t="str">
            <v>REMARKS</v>
          </cell>
        </row>
        <row r="8">
          <cell r="A8" t="str">
            <v>INCOMER (NON AUTO)</v>
          </cell>
          <cell r="B8" t="str">
            <v>TP</v>
          </cell>
          <cell r="D8">
            <v>63</v>
          </cell>
          <cell r="F8">
            <v>35</v>
          </cell>
          <cell r="G8" t="str">
            <v>FR/SWA/ LSOH</v>
          </cell>
          <cell r="I8" t="str">
            <v>4c 16</v>
          </cell>
          <cell r="J8" t="str">
            <v>1c 16</v>
          </cell>
          <cell r="K8">
            <v>4.2333333333333325</v>
          </cell>
          <cell r="L8">
            <v>3.7333333333333329</v>
          </cell>
          <cell r="M8">
            <v>3.7333333333333329</v>
          </cell>
        </row>
        <row r="9">
          <cell r="A9" t="str">
            <v>OUTGOING</v>
          </cell>
        </row>
        <row r="10">
          <cell r="A10" t="str">
            <v>LPF-GT-GM-1a(DUTY)</v>
          </cell>
          <cell r="B10" t="str">
            <v>TP</v>
          </cell>
          <cell r="D10">
            <v>40</v>
          </cell>
          <cell r="F10">
            <v>22</v>
          </cell>
          <cell r="G10" t="str">
            <v>FR/SWA/ LSOH</v>
          </cell>
          <cell r="I10" t="str">
            <v>2 x 3c 10</v>
          </cell>
          <cell r="J10" t="str">
            <v>1c 10</v>
          </cell>
          <cell r="K10">
            <v>3.7333333333333329</v>
          </cell>
          <cell r="L10">
            <v>3.7333333333333329</v>
          </cell>
          <cell r="M10">
            <v>3.7333333333333329</v>
          </cell>
          <cell r="R10" t="str">
            <v>100mA ELCB + S/D STARTER</v>
          </cell>
        </row>
        <row r="11">
          <cell r="A11" t="str">
            <v>LPF-GT-GM-1b(STAND BY)</v>
          </cell>
          <cell r="B11" t="str">
            <v>TP</v>
          </cell>
          <cell r="D11">
            <v>40</v>
          </cell>
          <cell r="F11">
            <v>22</v>
          </cell>
          <cell r="G11" t="str">
            <v>FR/SWA/ LSOH</v>
          </cell>
          <cell r="I11" t="str">
            <v>2 x 3c 10</v>
          </cell>
          <cell r="J11" t="str">
            <v>1c 10</v>
          </cell>
          <cell r="R11" t="str">
            <v>100mA ELCB + S/D STARTER</v>
          </cell>
        </row>
        <row r="12">
          <cell r="A12" t="str">
            <v>CONTROLS</v>
          </cell>
          <cell r="B12" t="str">
            <v>SP</v>
          </cell>
          <cell r="D12">
            <v>10</v>
          </cell>
          <cell r="F12">
            <v>22</v>
          </cell>
          <cell r="G12" t="str">
            <v>FR/SWA/ LSOH</v>
          </cell>
          <cell r="I12" t="str">
            <v>2c 1.5</v>
          </cell>
          <cell r="K12">
            <v>0.5</v>
          </cell>
        </row>
        <row r="23">
          <cell r="A23" t="str">
            <v xml:space="preserve"> </v>
          </cell>
        </row>
        <row r="24">
          <cell r="A24" t="str">
            <v xml:space="preserve">CONNECTED TO : </v>
          </cell>
          <cell r="B24" t="str">
            <v>SBE-MG-G-1</v>
          </cell>
          <cell r="F24" t="str">
            <v>TOTAL CONNECTED LOAD PER PHASE</v>
          </cell>
          <cell r="K24">
            <v>4.2333333333333325</v>
          </cell>
          <cell r="L24">
            <v>3.7333333333333329</v>
          </cell>
          <cell r="M24">
            <v>3.7333333333333329</v>
          </cell>
          <cell r="R24" t="str">
            <v>TOTAL</v>
          </cell>
        </row>
        <row r="27">
          <cell r="A27" t="str">
            <v xml:space="preserve">MAX. DEMAND (3 PH.):   </v>
          </cell>
          <cell r="B27">
            <v>11.699999999999998</v>
          </cell>
          <cell r="C27" t="str">
            <v>kW</v>
          </cell>
          <cell r="D27" t="str">
            <v xml:space="preserve">AT </v>
          </cell>
          <cell r="E27">
            <v>1</v>
          </cell>
          <cell r="F27" t="str">
            <v>DIVERSITY</v>
          </cell>
          <cell r="J27" t="str">
            <v xml:space="preserve">TOTAL CONNECTED LOAD(3 PH)   </v>
          </cell>
          <cell r="N27">
            <v>11.699999999999998</v>
          </cell>
          <cell r="O27" t="str">
            <v>kW</v>
          </cell>
        </row>
        <row r="30">
          <cell r="A30" t="str">
            <v>CONTRACTOR:</v>
          </cell>
          <cell r="K30" t="str">
            <v xml:space="preserve">TEL: </v>
          </cell>
          <cell r="O30" t="str">
            <v xml:space="preserve">FAX: </v>
          </cell>
        </row>
        <row r="32">
          <cell r="A32" t="str">
            <v>Type of Meter (Rating of Incomer):</v>
          </cell>
          <cell r="F32" t="str">
            <v>(1)  Upto 60A</v>
          </cell>
          <cell r="H32" t="str">
            <v>(2)  Upto 100 A</v>
          </cell>
          <cell r="K32" t="str">
            <v>(3)  125 - 160 A</v>
          </cell>
          <cell r="M32" t="str">
            <v>(4)  LV CT ..2500/5.......A</v>
          </cell>
          <cell r="Q32" t="str">
            <v>HV  CT .........../..........A</v>
          </cell>
        </row>
        <row r="33">
          <cell r="F33" t="str">
            <v xml:space="preserve">       (1 Phase)</v>
          </cell>
          <cell r="H33" t="str">
            <v xml:space="preserve">       (3 Phase)</v>
          </cell>
          <cell r="K33" t="str">
            <v xml:space="preserve">       </v>
          </cell>
        </row>
      </sheetData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SB_H_COVER"/>
      <sheetName val="LVSB_H_3"/>
      <sheetName val="MSB_H_3"/>
      <sheetName val="SBE_H_10_1"/>
      <sheetName val="DBE_H_10_1_1_"/>
      <sheetName val="DBE_H_10_1_2_"/>
      <sheetName val="DBE_H_10_2_1_"/>
      <sheetName val="DBE_H_10_2_2_"/>
      <sheetName val="DBE_H_11_1_1_"/>
      <sheetName val="DBE_H_11_1_2_"/>
      <sheetName val="DBE_H_11_2_1_"/>
      <sheetName val="DBE_H_11_2_2_"/>
      <sheetName val="DBE_H_12_1 _1_"/>
      <sheetName val="DBE_H_12_1 _2_"/>
      <sheetName val="CBS_H_12_1_"/>
      <sheetName val="DBE_H_12_2_1_"/>
      <sheetName val="DBE_H_12_2_2_"/>
      <sheetName val="DBE_H_13_1 _1_"/>
      <sheetName val="DBE_H_13_1 _2_"/>
      <sheetName val="DBE_H_13_2 _1_"/>
      <sheetName val="DBE_H_13_2 _2_"/>
      <sheetName val="DBE_H_13M_1 _1_"/>
      <sheetName val="DBE_H_13M_1 _2_"/>
      <sheetName val="DBE_HA_14_EXT_1 _1_"/>
      <sheetName val="DBE_HA_14_EXT_1 _2_"/>
      <sheetName val="DB_HA_14_EXT_2 _1_"/>
      <sheetName val="DB_HA_14_EXT_2 _2_"/>
      <sheetName val="SBE_H_5_1"/>
      <sheetName val="DBE_H_5_1 _1_"/>
      <sheetName val="DBE_H_5_1 _2_"/>
      <sheetName val="DBE_H_6_1 _1_"/>
      <sheetName val="DBE_H_6_1 _2_"/>
      <sheetName val="CBS_H_6_1_"/>
      <sheetName val="CBS_H_6_2_"/>
      <sheetName val="DBE_H_6_2 _1_"/>
      <sheetName val="DBE_H_6_2 _2_"/>
      <sheetName val="DBE_H_7_1 _1_"/>
      <sheetName val="DBE_H_7_1 _2_"/>
      <sheetName val="DBE_H_7_2 _1_"/>
      <sheetName val="DBE_H_7_2 _2_"/>
      <sheetName val="DBE_H_7_3_1_"/>
      <sheetName val="DBE_H_8_1 _1_"/>
      <sheetName val="DBE_H_8_1 _2_"/>
      <sheetName val="DBE_H_8_2 _1_"/>
      <sheetName val="DBE_H_8_2 _2_"/>
      <sheetName val="DBE_H_9_1 _1_"/>
      <sheetName val="DBE_H_9_1 _2_"/>
      <sheetName val="CBS_H_9_1_"/>
      <sheetName val="DBE_H_9_2_1_"/>
      <sheetName val="DBE_H_9_2_2_"/>
      <sheetName val="LMCP_DX_FCU_H_5_1"/>
      <sheetName val="SBE_H_G_4"/>
      <sheetName val="DBE_H_G_1_1_"/>
      <sheetName val="CBS_H_G _1_"/>
      <sheetName val="CBS_H_G _2_"/>
      <sheetName val="CBS_HC_G"/>
      <sheetName val="DBE_H_1_1_1_"/>
      <sheetName val="DBE_H_2_1_1_"/>
      <sheetName val="DBE_H_2_1_2_"/>
      <sheetName val="DBE_H_2_1_3_"/>
      <sheetName val="CBS_HC_3"/>
      <sheetName val="DBE_H_3_1_1_"/>
      <sheetName val="DBE_H_3_1_2_"/>
      <sheetName val="DBE_H_3_1_3_"/>
      <sheetName val="CBS_H_3_1_"/>
      <sheetName val="CBS_H_3_2_"/>
      <sheetName val="DBE_H_4_1_1_"/>
      <sheetName val="SBE_H_G_3 (FCC)"/>
      <sheetName val="LMCP_DX_FCU_H_LG_1"/>
      <sheetName val="LMCP_DX_FCU_H_LG_2"/>
      <sheetName val="LMCP_DX_FCU_H_LGM_1"/>
      <sheetName val="LMCP_DX_FCU_H_LGM_2"/>
      <sheetName val="LMCP_DX_FCU_H_LGM_3"/>
      <sheetName val="LMCP_DX_FCU_H_LGM_4"/>
      <sheetName val="LMCP_DX_FCU_H_LGM_5"/>
      <sheetName val="LMCP_DX_FCU_H_G_1"/>
      <sheetName val="SBE_H_13M_1"/>
      <sheetName val="LMCP_PAU_HA_13M_1"/>
      <sheetName val="LMCP_PAU_HA_13M_2"/>
      <sheetName val="LMCP_HW_PAU_H_13M_1"/>
      <sheetName val="LMCP_HW_PAU_HA_13M_1"/>
      <sheetName val="LMCP_HW_PAU_HA_13M_2"/>
      <sheetName val="LMCP_SEF_H_13M_1"/>
      <sheetName val="LMCP_SEF_H_13M_2"/>
      <sheetName val="LMCP_SPF_H_13M_1"/>
      <sheetName val="LMCP_SPF_H_13M_2"/>
      <sheetName val="LMCP_SPF_H_13M_3"/>
      <sheetName val="LMCP_LPF_H_13M_1"/>
      <sheetName val="MCPE_H_G_1"/>
      <sheetName val="LMCP_SVF_H_G_1"/>
      <sheetName val="LMCP_SPF_H_G_2"/>
      <sheetName val="SBE_H_B2_1"/>
      <sheetName val="LMCP_TEP_HA_B2_1 _ 1a"/>
      <sheetName val="LMCP_TEP_HA_B2_2 _ 2a"/>
      <sheetName val="LMCP_KEP_HA_B2_1 _ 1a"/>
      <sheetName val="LMCP_TP_HA_B2_1 _ 1a"/>
      <sheetName val="LMCP_TP_HA_B2_2 _ 2a"/>
      <sheetName val="LMCP_HRP_H_B2_1 _ 1a"/>
      <sheetName val="LMCP_HRP_H_B2_2 _ 2a"/>
      <sheetName val="LMCP_HRP_H_B2_3 _ 3a"/>
      <sheetName val="LMCP_FWP_H_B2_1 _ 1a"/>
      <sheetName val="LMCP_FWP_H_B2_2 _ 2a"/>
      <sheetName val="LMCP_FOTP_1"/>
      <sheetName val="LMCP_TEP_TL_LG_1 _ 1a"/>
      <sheetName val="SB_H_G_2"/>
      <sheetName val="LMCP_EF_HW_AHU_H_G_1"/>
      <sheetName val="LMCP_EF_HW_AHU_H_G_2"/>
      <sheetName val="LMCP_EF_HW_AHU_H_2_2"/>
      <sheetName val="LMCP_EF_HW_AHU_H_2_5"/>
      <sheetName val="LMCP_EF_HW_AHU-H-3-1"/>
      <sheetName val="MCP_H_1_1"/>
      <sheetName val="LMCP_EF_HW_AHU_H_1_1"/>
      <sheetName val="LMCP_EF_HW_AHU_H_1_2"/>
      <sheetName val="LMCP_EF_HW_AHU_H_2_1"/>
      <sheetName val="LMCP_EF_HW_AHU_H_1_3"/>
      <sheetName val="LMCP_PAU_KEF_H_1_2"/>
      <sheetName val="MCP_H_LG_1"/>
      <sheetName val="LMCP_AHU_H_LG_1"/>
      <sheetName val="LMCP_EF_HW_AHU_H_LG_2"/>
      <sheetName val="LMCP_EF_HW_AHU_H_LGM_1"/>
      <sheetName val="LMCP_EF_HW_AHU_H_LGM_2"/>
      <sheetName val="LMCP_EF_HW_AHU_H_LG_3"/>
      <sheetName val="LMCP_EF_HW_AHU_H_LGM_3"/>
      <sheetName val="LMCP_PAU_H_B2_B1_1"/>
      <sheetName val="LMCP_PAU_KEF_H_LGM_1 "/>
      <sheetName val="LSB_H_4_1"/>
      <sheetName val="EMSB_H_3"/>
      <sheetName val="SBE-HC-LGM-1"/>
      <sheetName val="LMCP_CEF_B2_3"/>
      <sheetName val="LMCP_CEF_B1_3"/>
      <sheetName val="LMCP_CEF_LG_2"/>
      <sheetName val="LMCP_CEF_LGM_2 "/>
      <sheetName val="LMCP_CSF_LG_3"/>
      <sheetName val="LMCP_CSF_LGM_3"/>
      <sheetName val="BSS-H-LG"/>
      <sheetName val="SB_H_LG_1"/>
      <sheetName val="SB_H_G_1"/>
      <sheetName val="DB_H_G_1_1_"/>
      <sheetName val="DB_H_G_1_2_ "/>
      <sheetName val="DB_H_1_1"/>
      <sheetName val="DB_H_1_2_1_"/>
      <sheetName val="DB_H_1_2_2_"/>
      <sheetName val="DB_H_1_3"/>
      <sheetName val="DB_H_3_B_1_1_"/>
      <sheetName val="DB_H_3_B_1_2_"/>
      <sheetName val="SBE_HC_LGM_1"/>
      <sheetName val="DB_HA_14_EXT_1 _1_"/>
      <sheetName val="DB_HA_14_EXT_1 _2_"/>
      <sheetName val="SBE_H_LGM_2"/>
      <sheetName val="DBE_H_B2_1_1_"/>
      <sheetName val="DBE_H_B2_1_2_"/>
      <sheetName val="DBE_H_B1_1_1_"/>
      <sheetName val="DBE_H_B1_1_2_"/>
      <sheetName val="CBS_H_B1 _1_"/>
      <sheetName val="CBS_H_B1 _2_"/>
      <sheetName val="CBS_HC_B1_1_"/>
      <sheetName val="CBS_HC_B1_2_"/>
      <sheetName val="DBE_H_LG_1_1_"/>
      <sheetName val="DBE_H_LG_1_2_"/>
      <sheetName val="DBE_H_LGM_1_1_"/>
      <sheetName val="DBE_H_LGM_1_2_"/>
      <sheetName val="DBE_H_LGM_1_3_"/>
      <sheetName val="SBE_H_G_3_(FCC)_"/>
      <sheetName val="SBE_H_LG_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>
        <row r="2">
          <cell r="B2" t="str">
            <v>PROJECT: DUBAI MARINA MALL &amp; HOTEL/APARTMENT</v>
          </cell>
          <cell r="J2" t="str">
            <v>DETAILS OF CONNECTED LOAD/ MAX. DEMAND</v>
          </cell>
        </row>
        <row r="3">
          <cell r="J3" t="str">
            <v>OWNER:</v>
          </cell>
          <cell r="K3" t="str">
            <v>EMAAR PROPERTIES PSJC</v>
          </cell>
          <cell r="P3" t="str">
            <v>AREA:</v>
          </cell>
          <cell r="R3" t="str">
            <v>DUBAI,UNITED ARAB EMIRATES</v>
          </cell>
        </row>
        <row r="4">
          <cell r="F4" t="str">
            <v xml:space="preserve"> </v>
          </cell>
          <cell r="P4" t="str">
            <v xml:space="preserve"> LOCATION OF MCP: </v>
          </cell>
          <cell r="S4" t="str">
            <v>GROUND FLOOR</v>
          </cell>
        </row>
        <row r="5">
          <cell r="B5" t="str">
            <v xml:space="preserve">MDB / SMDB </v>
          </cell>
          <cell r="C5" t="str">
            <v>MCPE-H-G-1</v>
          </cell>
          <cell r="J5" t="str">
            <v>CONSULTANT:MEINHARDT SINGAPORE PTE LTD.</v>
          </cell>
        </row>
        <row r="7">
          <cell r="B7" t="str">
            <v>CIRCUIT/</v>
          </cell>
          <cell r="C7" t="str">
            <v>SP/</v>
          </cell>
          <cell r="D7" t="str">
            <v>RATING - AMPS</v>
          </cell>
          <cell r="G7" t="str">
            <v>Isc FAULT</v>
          </cell>
          <cell r="H7" t="str">
            <v>FR or
XLPE</v>
          </cell>
          <cell r="I7" t="str">
            <v>CABLE SIZE</v>
          </cell>
          <cell r="K7" t="str">
            <v>CPC
SIZE-</v>
          </cell>
          <cell r="L7" t="str">
            <v>CONNECTED LOAD - KW</v>
          </cell>
          <cell r="O7" t="str">
            <v>PROPOSED TYPE &amp; NO. OF
KWH METERS</v>
          </cell>
        </row>
        <row r="8">
          <cell r="B8" t="str">
            <v>FEEDER
DB No.</v>
          </cell>
          <cell r="C8" t="str">
            <v>TP</v>
          </cell>
          <cell r="D8" t="str">
            <v>ACB</v>
          </cell>
          <cell r="E8" t="str">
            <v>MCCB</v>
          </cell>
          <cell r="F8" t="str">
            <v>MCB</v>
          </cell>
          <cell r="G8" t="str">
            <v>DUTY
KA</v>
          </cell>
          <cell r="H8" t="str">
            <v>SWA/
LS0H</v>
          </cell>
          <cell r="I8" t="str">
            <v>2/4 X1C
mm^2</v>
          </cell>
          <cell r="J8" t="str">
            <v>2/3/4C
mm^2</v>
          </cell>
          <cell r="K8" t="str">
            <v>1c
mm^2</v>
          </cell>
          <cell r="L8" t="str">
            <v>R-PH
KW</v>
          </cell>
          <cell r="M8" t="str">
            <v>Y-PH
KW</v>
          </cell>
          <cell r="N8" t="str">
            <v>B-PH
KW</v>
          </cell>
          <cell r="O8" t="str">
            <v>1 - PH
(1)</v>
          </cell>
          <cell r="P8" t="str">
            <v>3 - PH
(2)</v>
          </cell>
          <cell r="Q8" t="str">
            <v>3 - PH
(3)</v>
          </cell>
          <cell r="R8" t="str">
            <v>LV/H
CT (4)</v>
          </cell>
          <cell r="S8" t="str">
            <v>REMARKS</v>
          </cell>
        </row>
        <row r="9">
          <cell r="B9" t="str">
            <v>INCOMER (NON AUTO)</v>
          </cell>
          <cell r="C9" t="str">
            <v>TP</v>
          </cell>
          <cell r="E9">
            <v>80</v>
          </cell>
          <cell r="G9">
            <v>50</v>
          </cell>
          <cell r="H9" t="str">
            <v>FR/SWA/ LSOH</v>
          </cell>
          <cell r="J9" t="str">
            <v>4c 35</v>
          </cell>
          <cell r="K9" t="str">
            <v>1c 16</v>
          </cell>
          <cell r="L9">
            <v>12.466666666666665</v>
          </cell>
          <cell r="M9">
            <v>9.466666666666665</v>
          </cell>
          <cell r="N9">
            <v>9.466666666666665</v>
          </cell>
        </row>
        <row r="10">
          <cell r="B10" t="str">
            <v>OUTGOING</v>
          </cell>
        </row>
        <row r="11">
          <cell r="B11" t="str">
            <v>I-LMCP-SVF-H-G-1</v>
          </cell>
          <cell r="C11" t="str">
            <v>TP</v>
          </cell>
          <cell r="E11">
            <v>20</v>
          </cell>
          <cell r="G11">
            <v>36</v>
          </cell>
          <cell r="H11" t="str">
            <v>FR/SWA/ LSOH</v>
          </cell>
          <cell r="J11" t="str">
            <v>4c 4</v>
          </cell>
          <cell r="K11" t="str">
            <v>1c 4</v>
          </cell>
          <cell r="L11">
            <v>1</v>
          </cell>
          <cell r="M11">
            <v>0.5</v>
          </cell>
          <cell r="N11">
            <v>0.5</v>
          </cell>
        </row>
        <row r="12">
          <cell r="B12" t="str">
            <v>I-LMCP-SVF-H-G-2</v>
          </cell>
          <cell r="C12" t="str">
            <v>TP</v>
          </cell>
          <cell r="E12">
            <v>20</v>
          </cell>
          <cell r="G12">
            <v>36</v>
          </cell>
          <cell r="H12" t="str">
            <v>FR/SWA/ LSOH</v>
          </cell>
          <cell r="J12" t="str">
            <v>4c 4</v>
          </cell>
          <cell r="K12" t="str">
            <v>1c 4</v>
          </cell>
          <cell r="L12">
            <v>1</v>
          </cell>
          <cell r="M12">
            <v>0.5</v>
          </cell>
          <cell r="N12">
            <v>0.5</v>
          </cell>
        </row>
        <row r="13">
          <cell r="B13" t="str">
            <v>I-LMCP-SVF-H-G-3</v>
          </cell>
          <cell r="C13" t="str">
            <v>TP</v>
          </cell>
          <cell r="E13">
            <v>20</v>
          </cell>
          <cell r="G13">
            <v>36</v>
          </cell>
          <cell r="H13" t="str">
            <v>FR/SWA/ LSOH</v>
          </cell>
          <cell r="J13" t="str">
            <v>4c 4</v>
          </cell>
          <cell r="K13" t="str">
            <v>1c 4</v>
          </cell>
          <cell r="L13">
            <v>1</v>
          </cell>
          <cell r="M13">
            <v>0.5</v>
          </cell>
          <cell r="N13">
            <v>0.5</v>
          </cell>
        </row>
        <row r="14">
          <cell r="B14" t="str">
            <v>I-LMCP-SVF-H-G-4</v>
          </cell>
          <cell r="C14" t="str">
            <v>TP</v>
          </cell>
          <cell r="E14">
            <v>20</v>
          </cell>
          <cell r="G14">
            <v>36</v>
          </cell>
          <cell r="H14" t="str">
            <v>FR/SWA/ LSOH</v>
          </cell>
          <cell r="J14" t="str">
            <v>4c 4</v>
          </cell>
          <cell r="K14" t="str">
            <v>1c 4</v>
          </cell>
          <cell r="L14">
            <v>1</v>
          </cell>
          <cell r="M14">
            <v>0.5</v>
          </cell>
          <cell r="N14">
            <v>0.5</v>
          </cell>
        </row>
        <row r="15">
          <cell r="B15" t="str">
            <v>I-LMCP-SPF-H-G-2</v>
          </cell>
          <cell r="C15" t="str">
            <v>TP</v>
          </cell>
          <cell r="E15">
            <v>32</v>
          </cell>
          <cell r="G15">
            <v>36</v>
          </cell>
          <cell r="H15" t="str">
            <v>FR/SWA/ LSOH</v>
          </cell>
          <cell r="J15" t="str">
            <v>4c 6</v>
          </cell>
          <cell r="K15" t="str">
            <v>1c 6</v>
          </cell>
          <cell r="L15">
            <v>4.2333333333333325</v>
          </cell>
          <cell r="M15">
            <v>3.7333333333333329</v>
          </cell>
          <cell r="N15">
            <v>3.7333333333333329</v>
          </cell>
        </row>
        <row r="16">
          <cell r="B16" t="str">
            <v>I-LMCP-SPF-H-G-3</v>
          </cell>
          <cell r="C16" t="str">
            <v>TP</v>
          </cell>
          <cell r="E16">
            <v>32</v>
          </cell>
          <cell r="G16">
            <v>36</v>
          </cell>
          <cell r="H16" t="str">
            <v>FR/SWA/ LSOH</v>
          </cell>
          <cell r="J16" t="str">
            <v>4c 6</v>
          </cell>
          <cell r="K16" t="str">
            <v>1c 6</v>
          </cell>
          <cell r="L16">
            <v>4.2333333333333325</v>
          </cell>
          <cell r="M16">
            <v>3.7333333333333329</v>
          </cell>
          <cell r="N16">
            <v>3.7333333333333329</v>
          </cell>
        </row>
        <row r="25">
          <cell r="B25" t="str">
            <v xml:space="preserve">CONNECTED TO : </v>
          </cell>
          <cell r="C25" t="str">
            <v>MSB-H-3</v>
          </cell>
          <cell r="G25" t="str">
            <v>TOTAL CONNECTED LOAD PER PHASE</v>
          </cell>
          <cell r="L25">
            <v>12.466666666666665</v>
          </cell>
          <cell r="M25">
            <v>9.466666666666665</v>
          </cell>
          <cell r="N25">
            <v>9.466666666666665</v>
          </cell>
          <cell r="S25" t="str">
            <v>TOTAL</v>
          </cell>
        </row>
        <row r="26">
          <cell r="B26" t="str">
            <v xml:space="preserve">MAX. DEMAND (3 PH.):   </v>
          </cell>
          <cell r="C26">
            <v>28.259999999999994</v>
          </cell>
          <cell r="D26" t="str">
            <v>kW</v>
          </cell>
          <cell r="E26" t="str">
            <v xml:space="preserve">AT </v>
          </cell>
          <cell r="F26">
            <v>0.9</v>
          </cell>
          <cell r="G26" t="str">
            <v>DIVERSITY</v>
          </cell>
          <cell r="K26" t="str">
            <v xml:space="preserve">TOTAL CONNECTED LOAD(3 PH)   </v>
          </cell>
          <cell r="O26">
            <v>31.399999999999995</v>
          </cell>
          <cell r="P26" t="str">
            <v>kW</v>
          </cell>
        </row>
        <row r="28">
          <cell r="B28" t="str">
            <v>CONTRACTOR:</v>
          </cell>
          <cell r="L28" t="str">
            <v xml:space="preserve">TEL: </v>
          </cell>
          <cell r="P28" t="str">
            <v xml:space="preserve">FAX: </v>
          </cell>
        </row>
        <row r="30">
          <cell r="B30" t="str">
            <v>Type of Meter (Rating of Incomer):</v>
          </cell>
          <cell r="G30" t="str">
            <v>(1)  Upto 60A</v>
          </cell>
          <cell r="I30" t="str">
            <v>(2)  Upto 100 A</v>
          </cell>
          <cell r="L30" t="str">
            <v>(3)  125 - 160 A</v>
          </cell>
          <cell r="N30" t="str">
            <v>(4)  LV CT ..2500/5.......A</v>
          </cell>
          <cell r="R30" t="str">
            <v>HV  CT .........../..........A</v>
          </cell>
        </row>
        <row r="31">
          <cell r="G31" t="str">
            <v xml:space="preserve">       (1 Phase)</v>
          </cell>
          <cell r="I31" t="str">
            <v xml:space="preserve">       (3 Phase)</v>
          </cell>
          <cell r="L31" t="str">
            <v xml:space="preserve">       </v>
          </cell>
        </row>
      </sheetData>
      <sheetData sheetId="89"/>
      <sheetData sheetId="90">
        <row r="2">
          <cell r="B2" t="str">
            <v>PROJECT: DUBAI MARINA MALL &amp; HOTEL/APARTMENTS</v>
          </cell>
          <cell r="J2" t="str">
            <v>DETAILS OF CONNECTED LOAD/ MAX. DEMAND</v>
          </cell>
        </row>
        <row r="3">
          <cell r="J3" t="str">
            <v>OWNER:</v>
          </cell>
          <cell r="K3" t="str">
            <v>EMAAR PROPERTIES PSJC</v>
          </cell>
          <cell r="P3" t="str">
            <v>AREA:</v>
          </cell>
          <cell r="R3" t="str">
            <v>DUBAI,UNITED ARAB EMIRATES</v>
          </cell>
        </row>
        <row r="4">
          <cell r="F4" t="str">
            <v xml:space="preserve"> </v>
          </cell>
          <cell r="P4" t="str">
            <v xml:space="preserve"> LOCATION OF MCP: </v>
          </cell>
          <cell r="S4" t="str">
            <v>GROUND FLOOR</v>
          </cell>
        </row>
        <row r="5">
          <cell r="B5" t="str">
            <v xml:space="preserve">MDB / SMDB </v>
          </cell>
          <cell r="C5" t="str">
            <v>LMCP-SPF-H-G-2 (TYP TO LMCP-SPF-H-G-3)</v>
          </cell>
          <cell r="J5" t="str">
            <v>CONSULTANT:MEINHARDT SINGAPORE PTE LTD.</v>
          </cell>
        </row>
        <row r="7">
          <cell r="B7" t="str">
            <v>CIRCUIT/</v>
          </cell>
          <cell r="C7" t="str">
            <v>SP/</v>
          </cell>
          <cell r="D7" t="str">
            <v>RATING - AMPS</v>
          </cell>
          <cell r="G7" t="str">
            <v>Isc FAULT</v>
          </cell>
          <cell r="H7" t="str">
            <v>FR or
XLPE</v>
          </cell>
          <cell r="I7" t="str">
            <v>CABLE SIZE</v>
          </cell>
          <cell r="K7" t="str">
            <v>CPC
SIZE-</v>
          </cell>
          <cell r="L7" t="str">
            <v>CONNECTED LOAD - KW</v>
          </cell>
          <cell r="O7" t="str">
            <v>PROPOSED TYPE &amp; NO. OF
KWH METERS</v>
          </cell>
        </row>
        <row r="8">
          <cell r="B8" t="str">
            <v>FEEDER
DB No.</v>
          </cell>
          <cell r="C8" t="str">
            <v>TP</v>
          </cell>
          <cell r="D8" t="str">
            <v>ACB</v>
          </cell>
          <cell r="E8" t="str">
            <v>MCCB</v>
          </cell>
          <cell r="F8" t="str">
            <v>MCB</v>
          </cell>
          <cell r="G8" t="str">
            <v>DUTY
KA</v>
          </cell>
          <cell r="H8" t="str">
            <v>SWA/
LS0H</v>
          </cell>
          <cell r="I8" t="str">
            <v>2/4 X1C
mm^2</v>
          </cell>
          <cell r="J8" t="str">
            <v>2/3/4C
mm^2</v>
          </cell>
          <cell r="K8" t="str">
            <v>1c
mm^2</v>
          </cell>
          <cell r="L8" t="str">
            <v>R-PH
KW</v>
          </cell>
          <cell r="M8" t="str">
            <v>Y-PH
KW</v>
          </cell>
          <cell r="N8" t="str">
            <v>B-PH
KW</v>
          </cell>
          <cell r="O8" t="str">
            <v>1 - PH
(1)</v>
          </cell>
          <cell r="P8" t="str">
            <v>3 - PH
(2)</v>
          </cell>
          <cell r="Q8" t="str">
            <v>3 - PH
(3)</v>
          </cell>
          <cell r="R8" t="str">
            <v>LV/H
CT (4)</v>
          </cell>
          <cell r="S8" t="str">
            <v>REMARKS</v>
          </cell>
        </row>
        <row r="9">
          <cell r="B9" t="str">
            <v>INCOMER (NON AUTO)</v>
          </cell>
          <cell r="C9" t="str">
            <v>TP</v>
          </cell>
          <cell r="E9">
            <v>32</v>
          </cell>
          <cell r="G9">
            <v>36</v>
          </cell>
          <cell r="H9" t="str">
            <v>FR/SWA/ LSOH</v>
          </cell>
          <cell r="J9" t="str">
            <v>4c 6</v>
          </cell>
          <cell r="K9" t="str">
            <v>1c 6</v>
          </cell>
          <cell r="L9">
            <v>4.2333333333333325</v>
          </cell>
          <cell r="M9">
            <v>3.7333333333333329</v>
          </cell>
          <cell r="N9">
            <v>3.7333333333333329</v>
          </cell>
        </row>
        <row r="10">
          <cell r="B10" t="str">
            <v>OUTGOING</v>
          </cell>
        </row>
        <row r="11">
          <cell r="B11" t="str">
            <v>SPF-H-G-2a (DUTY)</v>
          </cell>
          <cell r="C11" t="str">
            <v>TP</v>
          </cell>
          <cell r="E11">
            <v>32</v>
          </cell>
          <cell r="G11">
            <v>36</v>
          </cell>
          <cell r="H11" t="str">
            <v>FR/SWA/ LSOH</v>
          </cell>
          <cell r="J11" t="str">
            <v>2x3c 6</v>
          </cell>
          <cell r="K11" t="str">
            <v>1c 6</v>
          </cell>
          <cell r="L11">
            <v>3.7333333333333329</v>
          </cell>
          <cell r="M11">
            <v>3.7333333333333329</v>
          </cell>
          <cell r="N11">
            <v>3.7333333333333329</v>
          </cell>
          <cell r="S11" t="str">
            <v>100mA ELCB + S/D STARTER</v>
          </cell>
        </row>
        <row r="12">
          <cell r="B12" t="str">
            <v>SPF-H-G-2b (S/B)</v>
          </cell>
          <cell r="C12" t="str">
            <v>TP</v>
          </cell>
          <cell r="E12">
            <v>32</v>
          </cell>
          <cell r="G12">
            <v>36</v>
          </cell>
          <cell r="H12" t="str">
            <v>FR/SWA/ LSOH</v>
          </cell>
          <cell r="J12" t="str">
            <v>2x3c 6</v>
          </cell>
          <cell r="K12" t="str">
            <v>1c 6</v>
          </cell>
          <cell r="S12" t="str">
            <v>100mA ELCB + S/D STARTER</v>
          </cell>
        </row>
        <row r="13">
          <cell r="B13" t="str">
            <v>CONTROLS</v>
          </cell>
          <cell r="C13" t="str">
            <v>SP</v>
          </cell>
          <cell r="E13">
            <v>10</v>
          </cell>
          <cell r="G13">
            <v>36</v>
          </cell>
          <cell r="H13" t="str">
            <v>FR/SWA/ LSOH</v>
          </cell>
          <cell r="J13" t="str">
            <v>2c 1.5</v>
          </cell>
          <cell r="L13">
            <v>0.5</v>
          </cell>
        </row>
        <row r="25">
          <cell r="B25" t="str">
            <v>CONNECTED TO :</v>
          </cell>
          <cell r="C25" t="str">
            <v>MCPE-H-G-1</v>
          </cell>
          <cell r="G25" t="str">
            <v>TOTAL CONNECTED LOAD PER PHASE</v>
          </cell>
          <cell r="L25">
            <v>4.2333333333333325</v>
          </cell>
          <cell r="M25">
            <v>3.7333333333333329</v>
          </cell>
          <cell r="N25">
            <v>3.7333333333333329</v>
          </cell>
          <cell r="S25" t="str">
            <v>TOTAL</v>
          </cell>
        </row>
        <row r="26">
          <cell r="B26" t="str">
            <v xml:space="preserve">MAX. DEMAND (3 PH.):   </v>
          </cell>
          <cell r="C26">
            <v>11.699999999999998</v>
          </cell>
          <cell r="D26" t="str">
            <v>kW</v>
          </cell>
          <cell r="E26" t="str">
            <v xml:space="preserve">AT </v>
          </cell>
          <cell r="F26">
            <v>1</v>
          </cell>
          <cell r="G26" t="str">
            <v>DIVERSITY</v>
          </cell>
          <cell r="K26" t="str">
            <v xml:space="preserve">TOTAL CONNECTED LOAD(3 PH)   </v>
          </cell>
          <cell r="O26">
            <v>11.699999999999998</v>
          </cell>
          <cell r="P26" t="str">
            <v>kW</v>
          </cell>
        </row>
        <row r="28">
          <cell r="B28" t="str">
            <v>CONTRACTOR:</v>
          </cell>
          <cell r="L28" t="str">
            <v xml:space="preserve">TEL: </v>
          </cell>
          <cell r="P28" t="str">
            <v xml:space="preserve">FAX: </v>
          </cell>
        </row>
        <row r="30">
          <cell r="B30" t="str">
            <v>Type of Meter (Rating of Incomer):</v>
          </cell>
          <cell r="G30" t="str">
            <v>(1)  Upto 60A</v>
          </cell>
          <cell r="I30" t="str">
            <v>(2)  Upto 100 A</v>
          </cell>
          <cell r="L30" t="str">
            <v>(3)  125 - 160 A</v>
          </cell>
          <cell r="N30" t="str">
            <v>(4)  LV CT ..2500/5.......A</v>
          </cell>
          <cell r="R30" t="str">
            <v>HV  CT .........../..........A</v>
          </cell>
        </row>
        <row r="31">
          <cell r="G31" t="str">
            <v xml:space="preserve">       (1 Phase)</v>
          </cell>
          <cell r="I31" t="str">
            <v xml:space="preserve">       (3 Phase)</v>
          </cell>
          <cell r="L31" t="str">
            <v xml:space="preserve">       </v>
          </cell>
        </row>
      </sheetData>
      <sheetData sheetId="91"/>
      <sheetData sheetId="92">
        <row r="2">
          <cell r="B2" t="str">
            <v>PROJECT: DUBAI MARINA MALL AND HOTEL/APARTMENT</v>
          </cell>
          <cell r="J2" t="str">
            <v>DETAILS OF CONNECTED LOAD/ MAX. DEMAND</v>
          </cell>
        </row>
        <row r="3">
          <cell r="J3" t="str">
            <v>OWNER:</v>
          </cell>
          <cell r="K3" t="str">
            <v>EMAAR PROPERTIES PSJC</v>
          </cell>
          <cell r="P3" t="str">
            <v>AREA:</v>
          </cell>
          <cell r="R3" t="str">
            <v>DUBAI,UNITED ARAB EMIRATES</v>
          </cell>
        </row>
        <row r="4">
          <cell r="F4" t="str">
            <v xml:space="preserve"> </v>
          </cell>
          <cell r="P4" t="str">
            <v xml:space="preserve"> LOCATION OF MCP: </v>
          </cell>
          <cell r="S4" t="str">
            <v xml:space="preserve">    BASEMENT 2</v>
          </cell>
        </row>
        <row r="5">
          <cell r="B5" t="str">
            <v xml:space="preserve">MDB / SMDB </v>
          </cell>
          <cell r="C5" t="str">
            <v>LMCP-TEP-HA-B2-1 &amp; 1a</v>
          </cell>
          <cell r="J5" t="str">
            <v>CONSULTANT:MEINHARDT SINGAPORE PTE LTD.</v>
          </cell>
        </row>
        <row r="7">
          <cell r="B7" t="str">
            <v>CIRCUIT/</v>
          </cell>
          <cell r="C7" t="str">
            <v>SP/</v>
          </cell>
          <cell r="D7" t="str">
            <v>RATING - AMPS</v>
          </cell>
          <cell r="G7" t="str">
            <v>Isc FAULT</v>
          </cell>
          <cell r="H7" t="str">
            <v>FR or
XLPE</v>
          </cell>
          <cell r="I7" t="str">
            <v>CABLE SIZE</v>
          </cell>
          <cell r="K7" t="str">
            <v>CPC
SIZE-</v>
          </cell>
          <cell r="L7" t="str">
            <v>CONNECTED LOAD - KW</v>
          </cell>
          <cell r="O7" t="str">
            <v>PROPOSED TYPE &amp; NO. OF
KWH METERS</v>
          </cell>
        </row>
        <row r="8">
          <cell r="B8" t="str">
            <v>FEEDER
DB No.</v>
          </cell>
          <cell r="C8" t="str">
            <v>TP</v>
          </cell>
          <cell r="D8" t="str">
            <v>ACB</v>
          </cell>
          <cell r="E8" t="str">
            <v>MCCB</v>
          </cell>
          <cell r="F8" t="str">
            <v>MCB</v>
          </cell>
          <cell r="G8" t="str">
            <v>DUTY
KA</v>
          </cell>
          <cell r="H8" t="str">
            <v>SWA/
LS0H</v>
          </cell>
          <cell r="I8" t="str">
            <v>2/4 X1C
mm^2</v>
          </cell>
          <cell r="J8" t="str">
            <v>2/3/4C
mm^2</v>
          </cell>
          <cell r="K8" t="str">
            <v>1c
mm^2</v>
          </cell>
          <cell r="L8" t="str">
            <v>R-PH
KW</v>
          </cell>
          <cell r="M8" t="str">
            <v>Y-PH
KW</v>
          </cell>
          <cell r="N8" t="str">
            <v>B-PH
KW</v>
          </cell>
          <cell r="O8" t="str">
            <v>1 - PH
(1)</v>
          </cell>
          <cell r="P8" t="str">
            <v>3 - PH
(2)</v>
          </cell>
          <cell r="Q8" t="str">
            <v>3 - PH
(3)</v>
          </cell>
          <cell r="R8" t="str">
            <v>LV/H
CT (4)</v>
          </cell>
          <cell r="S8" t="str">
            <v>REMARKS</v>
          </cell>
        </row>
        <row r="9">
          <cell r="B9" t="str">
            <v>INCOMER (NON AUTO)</v>
          </cell>
          <cell r="C9" t="str">
            <v>TP</v>
          </cell>
          <cell r="E9">
            <v>32</v>
          </cell>
          <cell r="G9">
            <v>36</v>
          </cell>
          <cell r="H9" t="str">
            <v>FR/SWA/ LSOH</v>
          </cell>
          <cell r="J9" t="str">
            <v>4c 6</v>
          </cell>
          <cell r="K9" t="str">
            <v>1c 6</v>
          </cell>
          <cell r="L9">
            <v>1.2433333333333334</v>
          </cell>
          <cell r="M9">
            <v>1.7433333333333334</v>
          </cell>
          <cell r="N9">
            <v>2.0433333333333334</v>
          </cell>
        </row>
        <row r="10">
          <cell r="B10" t="str">
            <v>OUTGOING</v>
          </cell>
        </row>
        <row r="11">
          <cell r="B11" t="str">
            <v>TOILET EJECTOR PUMP (DUTY)</v>
          </cell>
          <cell r="C11" t="str">
            <v>SP</v>
          </cell>
          <cell r="E11">
            <v>20</v>
          </cell>
          <cell r="G11">
            <v>36</v>
          </cell>
          <cell r="H11" t="str">
            <v>FR/SWA/ LSOH</v>
          </cell>
          <cell r="J11" t="str">
            <v>3c 4</v>
          </cell>
          <cell r="K11" t="str">
            <v>1c 4</v>
          </cell>
          <cell r="L11">
            <v>1.2433333333333334</v>
          </cell>
          <cell r="M11">
            <v>1.2433333333333334</v>
          </cell>
          <cell r="N11">
            <v>1.2433333333333334</v>
          </cell>
          <cell r="S11" t="str">
            <v>30mA ELCB + DOL STARTER</v>
          </cell>
        </row>
        <row r="12">
          <cell r="B12" t="str">
            <v>TOILET EJECTOR PUMP (STAND-BY)</v>
          </cell>
          <cell r="C12" t="str">
            <v>SP</v>
          </cell>
          <cell r="E12">
            <v>20</v>
          </cell>
          <cell r="G12">
            <v>36</v>
          </cell>
          <cell r="H12" t="str">
            <v>FR/SWA/ LSOH</v>
          </cell>
          <cell r="J12" t="str">
            <v>2c 4</v>
          </cell>
          <cell r="K12" t="str">
            <v>1c 4</v>
          </cell>
          <cell r="S12" t="str">
            <v>30mA ELCB + DOL STARTER</v>
          </cell>
        </row>
        <row r="13">
          <cell r="B13" t="str">
            <v>SUMP PUMP (DUTY)</v>
          </cell>
          <cell r="C13" t="str">
            <v>SP</v>
          </cell>
          <cell r="E13">
            <v>20</v>
          </cell>
          <cell r="G13">
            <v>36</v>
          </cell>
          <cell r="H13" t="str">
            <v>FR/SWA/ LSOH</v>
          </cell>
          <cell r="J13" t="str">
            <v>2c 4</v>
          </cell>
          <cell r="K13" t="str">
            <v>1c 4</v>
          </cell>
          <cell r="N13">
            <v>0.8</v>
          </cell>
          <cell r="S13" t="str">
            <v>30mA ELCB + DOL STARTER</v>
          </cell>
        </row>
        <row r="14">
          <cell r="B14" t="str">
            <v>CONTROLS</v>
          </cell>
          <cell r="C14" t="str">
            <v>SP</v>
          </cell>
          <cell r="E14">
            <v>10</v>
          </cell>
          <cell r="G14">
            <v>36</v>
          </cell>
          <cell r="H14" t="str">
            <v>FR/SWA/ LSOH</v>
          </cell>
          <cell r="J14" t="str">
            <v>2c 1.5</v>
          </cell>
          <cell r="M14">
            <v>0.5</v>
          </cell>
        </row>
        <row r="25">
          <cell r="B25" t="str">
            <v>CONNECTED TO :</v>
          </cell>
          <cell r="C25" t="str">
            <v>SBE-H-B2-1</v>
          </cell>
          <cell r="G25" t="str">
            <v>TOTAL CONNECTED LOAD PER PHASE</v>
          </cell>
          <cell r="L25">
            <v>1.2433333333333334</v>
          </cell>
          <cell r="M25">
            <v>1.7433333333333334</v>
          </cell>
          <cell r="N25">
            <v>2.0433333333333334</v>
          </cell>
          <cell r="S25" t="str">
            <v>TOTAL</v>
          </cell>
        </row>
        <row r="26">
          <cell r="B26" t="str">
            <v xml:space="preserve">MAX. DEMAND (3 PH.):   </v>
          </cell>
          <cell r="C26">
            <v>5.03</v>
          </cell>
          <cell r="D26" t="str">
            <v>kW</v>
          </cell>
          <cell r="E26" t="str">
            <v xml:space="preserve">AT </v>
          </cell>
          <cell r="F26">
            <v>1</v>
          </cell>
          <cell r="G26" t="str">
            <v>DIVERSITY</v>
          </cell>
          <cell r="K26" t="str">
            <v xml:space="preserve">TOTAL CONNECTED LOAD(3 PH)   </v>
          </cell>
          <cell r="O26">
            <v>5.03</v>
          </cell>
          <cell r="P26" t="str">
            <v>kW</v>
          </cell>
        </row>
        <row r="28">
          <cell r="B28" t="str">
            <v>CONTRACTOR:</v>
          </cell>
          <cell r="L28" t="str">
            <v xml:space="preserve">TEL: </v>
          </cell>
          <cell r="P28" t="str">
            <v xml:space="preserve">FAX: </v>
          </cell>
        </row>
        <row r="30">
          <cell r="B30" t="str">
            <v>Type of Meter (Rating of Incomer):</v>
          </cell>
          <cell r="G30" t="str">
            <v>(1)  Upto 60A</v>
          </cell>
          <cell r="I30" t="str">
            <v>(2)  Upto 100 A</v>
          </cell>
          <cell r="L30" t="str">
            <v>(3)  125 - 160 A</v>
          </cell>
          <cell r="N30" t="str">
            <v>(4)  LV CT ..2500/5.......A</v>
          </cell>
          <cell r="R30" t="str">
            <v>HV  CT .........../..........A</v>
          </cell>
        </row>
        <row r="31">
          <cell r="G31" t="str">
            <v xml:space="preserve">       (1 Phase)</v>
          </cell>
          <cell r="I31" t="str">
            <v xml:space="preserve">       (3 Phase)</v>
          </cell>
          <cell r="L31" t="str">
            <v xml:space="preserve">       </v>
          </cell>
        </row>
      </sheetData>
      <sheetData sheetId="93"/>
      <sheetData sheetId="94">
        <row r="2">
          <cell r="B2" t="str">
            <v>PROJECT: DUBAI MARINA MALL AND HOTEL/APARTMENT</v>
          </cell>
          <cell r="J2" t="str">
            <v>DETAILS OF CONNECTED LOAD/ MAX. DEMAND</v>
          </cell>
        </row>
        <row r="3">
          <cell r="J3" t="str">
            <v>OWNER:</v>
          </cell>
          <cell r="K3" t="str">
            <v>EMAAR PROPERTIES PSJC</v>
          </cell>
          <cell r="P3" t="str">
            <v>AREA:</v>
          </cell>
          <cell r="R3" t="str">
            <v>DUBAI,UNITED ARAB EMIRATES</v>
          </cell>
        </row>
        <row r="4">
          <cell r="F4" t="str">
            <v xml:space="preserve"> </v>
          </cell>
          <cell r="P4" t="str">
            <v xml:space="preserve"> LOCATION OF MCP: </v>
          </cell>
          <cell r="S4" t="str">
            <v xml:space="preserve">    BASEMENT 2</v>
          </cell>
        </row>
        <row r="5">
          <cell r="B5" t="str">
            <v xml:space="preserve">MDB / SMDB </v>
          </cell>
          <cell r="C5" t="str">
            <v>LMCP-KEP-HA-B2-1 &amp; 1a</v>
          </cell>
          <cell r="J5" t="str">
            <v>CONSULTANT:MEINHARDT SINGAPORE PTE LTD.</v>
          </cell>
        </row>
        <row r="7">
          <cell r="B7" t="str">
            <v>CIRCUIT/</v>
          </cell>
          <cell r="C7" t="str">
            <v>SP/</v>
          </cell>
          <cell r="D7" t="str">
            <v>RATING - AMPS</v>
          </cell>
          <cell r="G7" t="str">
            <v>Isc FAULT</v>
          </cell>
          <cell r="H7" t="str">
            <v>FR or
XLPE</v>
          </cell>
          <cell r="I7" t="str">
            <v>CABLE SIZE</v>
          </cell>
          <cell r="K7" t="str">
            <v>CPC
SIZE-</v>
          </cell>
          <cell r="L7" t="str">
            <v>CONNECTED LOAD - KW</v>
          </cell>
          <cell r="O7" t="str">
            <v>PROPOSED TYPE &amp; NO. OF
KWH METERS</v>
          </cell>
        </row>
        <row r="8">
          <cell r="B8" t="str">
            <v>FEEDER
DB No.</v>
          </cell>
          <cell r="C8" t="str">
            <v>TP</v>
          </cell>
          <cell r="D8" t="str">
            <v>ACB</v>
          </cell>
          <cell r="E8" t="str">
            <v>MCCB</v>
          </cell>
          <cell r="F8" t="str">
            <v>MCB</v>
          </cell>
          <cell r="G8" t="str">
            <v>DUTY
KA</v>
          </cell>
          <cell r="H8" t="str">
            <v>SWA/
LS0H</v>
          </cell>
          <cell r="I8" t="str">
            <v>2/4 X1C
mm^2</v>
          </cell>
          <cell r="J8" t="str">
            <v>2/3/4C
mm^2</v>
          </cell>
          <cell r="K8" t="str">
            <v>1c
mm^2</v>
          </cell>
          <cell r="L8" t="str">
            <v>R-PH
KW</v>
          </cell>
          <cell r="M8" t="str">
            <v>Y-PH
KW</v>
          </cell>
          <cell r="N8" t="str">
            <v>B-PH
KW</v>
          </cell>
          <cell r="O8" t="str">
            <v>1 - PH
(1)</v>
          </cell>
          <cell r="P8" t="str">
            <v>3 - PH
(2)</v>
          </cell>
          <cell r="Q8" t="str">
            <v>3 - PH
(3)</v>
          </cell>
          <cell r="R8" t="str">
            <v>LV/H
CT (4)</v>
          </cell>
          <cell r="S8" t="str">
            <v>REMARKS</v>
          </cell>
        </row>
        <row r="9">
          <cell r="B9" t="str">
            <v>INCOMER (NON AUTO)</v>
          </cell>
          <cell r="C9" t="str">
            <v>TP</v>
          </cell>
          <cell r="E9">
            <v>32</v>
          </cell>
          <cell r="G9">
            <v>36</v>
          </cell>
          <cell r="H9" t="str">
            <v>FR/SWA/ LSOH</v>
          </cell>
          <cell r="J9" t="str">
            <v>4c 6</v>
          </cell>
          <cell r="K9" t="str">
            <v>1c 6</v>
          </cell>
          <cell r="L9">
            <v>1.7433333333333334</v>
          </cell>
          <cell r="M9">
            <v>2.0433333333333334</v>
          </cell>
          <cell r="N9">
            <v>1.2433333333333334</v>
          </cell>
        </row>
        <row r="10">
          <cell r="B10" t="str">
            <v>OUTGOING</v>
          </cell>
        </row>
        <row r="11">
          <cell r="B11" t="str">
            <v>KITCHEN EJECTOR PUMP (DUTY)</v>
          </cell>
          <cell r="C11" t="str">
            <v>TP</v>
          </cell>
          <cell r="E11">
            <v>20</v>
          </cell>
          <cell r="G11">
            <v>36</v>
          </cell>
          <cell r="H11" t="str">
            <v>FR/SWA/ LSOH</v>
          </cell>
          <cell r="J11" t="str">
            <v>3c 4</v>
          </cell>
          <cell r="K11" t="str">
            <v>1c 4</v>
          </cell>
          <cell r="L11">
            <v>1.2433333333333334</v>
          </cell>
          <cell r="M11">
            <v>1.2433333333333334</v>
          </cell>
          <cell r="N11">
            <v>1.2433333333333334</v>
          </cell>
          <cell r="S11" t="str">
            <v>30mA ELCB + DOL STARTER</v>
          </cell>
        </row>
        <row r="12">
          <cell r="B12" t="str">
            <v>KITCHEN EJECTOR PUMP (STAND-BY)</v>
          </cell>
          <cell r="C12" t="str">
            <v>TP</v>
          </cell>
          <cell r="E12">
            <v>20</v>
          </cell>
          <cell r="G12">
            <v>36</v>
          </cell>
          <cell r="H12" t="str">
            <v>FR/SWA/ LSOH</v>
          </cell>
          <cell r="J12" t="str">
            <v>2c 4</v>
          </cell>
          <cell r="K12" t="str">
            <v>1c 4</v>
          </cell>
          <cell r="S12" t="str">
            <v>30mA ELCB + DOL STARTER</v>
          </cell>
        </row>
        <row r="13">
          <cell r="B13" t="str">
            <v>SUMP PUMP (DUTY)</v>
          </cell>
          <cell r="C13" t="str">
            <v>TP</v>
          </cell>
          <cell r="E13">
            <v>20</v>
          </cell>
          <cell r="G13">
            <v>36</v>
          </cell>
          <cell r="H13" t="str">
            <v>FR/SWA/ LSOH</v>
          </cell>
          <cell r="J13" t="str">
            <v>2c 4</v>
          </cell>
          <cell r="K13" t="str">
            <v>1c 4</v>
          </cell>
          <cell r="M13">
            <v>0.8</v>
          </cell>
          <cell r="S13" t="str">
            <v>30mA ELCB + DOL STARTER</v>
          </cell>
        </row>
        <row r="14">
          <cell r="B14" t="str">
            <v>CONTROLS</v>
          </cell>
          <cell r="C14" t="str">
            <v>SP</v>
          </cell>
          <cell r="E14">
            <v>10</v>
          </cell>
          <cell r="G14">
            <v>36</v>
          </cell>
          <cell r="H14" t="str">
            <v>FR/SWA/ LSOH</v>
          </cell>
          <cell r="J14" t="str">
            <v>2c 1.5</v>
          </cell>
          <cell r="L14">
            <v>0.5</v>
          </cell>
        </row>
        <row r="25">
          <cell r="B25" t="str">
            <v>CONNECTED TO :</v>
          </cell>
          <cell r="C25" t="str">
            <v>SBE-H-B2-1</v>
          </cell>
          <cell r="G25" t="str">
            <v>TOTAL CONNECTED LOAD PER PHASE</v>
          </cell>
          <cell r="L25">
            <v>1.7433333333333334</v>
          </cell>
          <cell r="M25">
            <v>2.0433333333333334</v>
          </cell>
          <cell r="N25">
            <v>1.2433333333333334</v>
          </cell>
          <cell r="S25" t="str">
            <v>TOTAL</v>
          </cell>
        </row>
        <row r="26">
          <cell r="B26" t="str">
            <v xml:space="preserve">MAX. DEMAND (3 PH.):   </v>
          </cell>
          <cell r="C26">
            <v>5.03</v>
          </cell>
          <cell r="D26" t="str">
            <v>kW</v>
          </cell>
          <cell r="E26" t="str">
            <v xml:space="preserve">AT </v>
          </cell>
          <cell r="F26">
            <v>1</v>
          </cell>
          <cell r="G26" t="str">
            <v>DIVERSITY</v>
          </cell>
          <cell r="K26" t="str">
            <v xml:space="preserve">TOTAL CONNECTED LOAD(3 PH)   </v>
          </cell>
          <cell r="O26">
            <v>5.03</v>
          </cell>
          <cell r="P26" t="str">
            <v>kW</v>
          </cell>
        </row>
        <row r="28">
          <cell r="B28" t="str">
            <v>CONTRACTOR:</v>
          </cell>
          <cell r="L28" t="str">
            <v xml:space="preserve">TEL: </v>
          </cell>
          <cell r="P28" t="str">
            <v xml:space="preserve">FAX: </v>
          </cell>
        </row>
        <row r="30">
          <cell r="B30" t="str">
            <v>Type of Meter (Rating of Incomer):</v>
          </cell>
          <cell r="G30" t="str">
            <v>(1)  Upto 60A</v>
          </cell>
          <cell r="I30" t="str">
            <v>(2)  Upto 100 A</v>
          </cell>
          <cell r="L30" t="str">
            <v>(3)  125 - 160 A</v>
          </cell>
          <cell r="N30" t="str">
            <v>(4)  LV CT ..2500/5.......A</v>
          </cell>
          <cell r="R30" t="str">
            <v>HV  CT .........../..........A</v>
          </cell>
        </row>
        <row r="31">
          <cell r="G31" t="str">
            <v xml:space="preserve">       (1 Phase)</v>
          </cell>
          <cell r="I31" t="str">
            <v xml:space="preserve">       (3 Phase)</v>
          </cell>
          <cell r="L31" t="str">
            <v xml:space="preserve">       </v>
          </cell>
        </row>
      </sheetData>
      <sheetData sheetId="95">
        <row r="2">
          <cell r="B2" t="str">
            <v>PROJECT: DUBAI MARINA MALL AND HOTEL/APARTMENT</v>
          </cell>
          <cell r="J2" t="str">
            <v>DETAILS OF CONNECTED LOAD/ MAX. DEMAND</v>
          </cell>
        </row>
        <row r="3">
          <cell r="J3" t="str">
            <v>OWNER:</v>
          </cell>
          <cell r="K3" t="str">
            <v>EMAAR PROPERTIES PSJC</v>
          </cell>
          <cell r="P3" t="str">
            <v>AREA:</v>
          </cell>
          <cell r="R3" t="str">
            <v>DUBAI,UNITED ARAB EMIRATES</v>
          </cell>
        </row>
        <row r="4">
          <cell r="F4" t="str">
            <v xml:space="preserve"> </v>
          </cell>
          <cell r="P4" t="str">
            <v xml:space="preserve"> LOCATION OF MCP: </v>
          </cell>
          <cell r="S4" t="str">
            <v xml:space="preserve">    BASEMENT 2 </v>
          </cell>
        </row>
        <row r="5">
          <cell r="B5" t="str">
            <v xml:space="preserve">MDB / SMDB </v>
          </cell>
          <cell r="C5" t="str">
            <v>LMCP-TP-HA-B2-1 &amp; 1a</v>
          </cell>
          <cell r="J5" t="str">
            <v>CONSULTANT:MEINHARDT SINGAPORE PTE LTD.</v>
          </cell>
        </row>
        <row r="7">
          <cell r="B7" t="str">
            <v>CIRCUIT/</v>
          </cell>
          <cell r="C7" t="str">
            <v>SP/</v>
          </cell>
          <cell r="D7" t="str">
            <v>RATING - AMPS</v>
          </cell>
          <cell r="G7" t="str">
            <v>Isc FAULT</v>
          </cell>
          <cell r="H7" t="str">
            <v>FR or
XLPE</v>
          </cell>
          <cell r="I7" t="str">
            <v>CABLE SIZE</v>
          </cell>
          <cell r="K7" t="str">
            <v>CPC
SIZE-</v>
          </cell>
          <cell r="L7" t="str">
            <v>CONNECTED LOAD - KW</v>
          </cell>
          <cell r="O7" t="str">
            <v>PROPOSED TYPE &amp; NO. OF
KWH METERS</v>
          </cell>
        </row>
        <row r="8">
          <cell r="B8" t="str">
            <v>FEEDER
DB No.</v>
          </cell>
          <cell r="C8" t="str">
            <v>TP</v>
          </cell>
          <cell r="D8" t="str">
            <v>ACB</v>
          </cell>
          <cell r="E8" t="str">
            <v>MCCB</v>
          </cell>
          <cell r="F8" t="str">
            <v>MCB</v>
          </cell>
          <cell r="G8" t="str">
            <v>DUTY
KA</v>
          </cell>
          <cell r="H8" t="str">
            <v>SWA/
LS0H</v>
          </cell>
          <cell r="I8" t="str">
            <v>2/4 X1C
mm^2</v>
          </cell>
          <cell r="J8" t="str">
            <v>2/3/4C
mm^2</v>
          </cell>
          <cell r="K8" t="str">
            <v>1c
mm^2</v>
          </cell>
          <cell r="L8" t="str">
            <v>R-PH
KW</v>
          </cell>
          <cell r="M8" t="str">
            <v>Y-PH
KW</v>
          </cell>
          <cell r="N8" t="str">
            <v>B-PH
KW</v>
          </cell>
          <cell r="O8" t="str">
            <v>1 - PH
(1)</v>
          </cell>
          <cell r="P8" t="str">
            <v>3 - PH
(2)</v>
          </cell>
          <cell r="Q8" t="str">
            <v>3 - PH
(3)</v>
          </cell>
          <cell r="R8" t="str">
            <v>LV/H
CT (4)</v>
          </cell>
          <cell r="S8" t="str">
            <v>REMARKS</v>
          </cell>
        </row>
        <row r="9">
          <cell r="B9" t="str">
            <v>INCOMER (NON AUTO)</v>
          </cell>
          <cell r="C9" t="str">
            <v>TP</v>
          </cell>
          <cell r="E9">
            <v>125</v>
          </cell>
          <cell r="G9">
            <v>36</v>
          </cell>
          <cell r="H9" t="str">
            <v>FR/SWA/ LSOH</v>
          </cell>
          <cell r="J9" t="str">
            <v>4c 70</v>
          </cell>
          <cell r="K9" t="str">
            <v>1c 70</v>
          </cell>
          <cell r="L9">
            <v>19.166666666666668</v>
          </cell>
          <cell r="M9">
            <v>18.666666666666668</v>
          </cell>
          <cell r="N9">
            <v>18.666666666666668</v>
          </cell>
        </row>
        <row r="10">
          <cell r="B10" t="str">
            <v>OUTGOING</v>
          </cell>
        </row>
        <row r="11">
          <cell r="B11" t="str">
            <v>TRANSFER PUMP (DUTY)</v>
          </cell>
          <cell r="C11" t="str">
            <v>TP</v>
          </cell>
          <cell r="E11">
            <v>125</v>
          </cell>
          <cell r="G11">
            <v>36</v>
          </cell>
          <cell r="H11" t="str">
            <v>FR/SWA/ LSOH</v>
          </cell>
          <cell r="J11" t="str">
            <v>3c 70</v>
          </cell>
          <cell r="K11" t="str">
            <v>1c 35</v>
          </cell>
          <cell r="L11">
            <v>18.666666666666668</v>
          </cell>
          <cell r="M11">
            <v>18.666666666666668</v>
          </cell>
          <cell r="N11">
            <v>18.666666666666668</v>
          </cell>
          <cell r="S11" t="str">
            <v>30mA ELCB + VARIABLE SPEED DRIVE</v>
          </cell>
        </row>
        <row r="12">
          <cell r="B12" t="str">
            <v>TRANSFER PUMP (STAND-BY)</v>
          </cell>
          <cell r="C12" t="str">
            <v>TP</v>
          </cell>
          <cell r="E12">
            <v>125</v>
          </cell>
          <cell r="G12">
            <v>36</v>
          </cell>
          <cell r="H12" t="str">
            <v>FR/SWA/ LSOH</v>
          </cell>
          <cell r="J12" t="str">
            <v>3c 70</v>
          </cell>
          <cell r="K12" t="str">
            <v>1c 35</v>
          </cell>
          <cell r="S12" t="str">
            <v>30mA ELCB + VARIABLE SPEED DRIVE</v>
          </cell>
        </row>
        <row r="13">
          <cell r="B13" t="str">
            <v>CONTROLS</v>
          </cell>
          <cell r="C13" t="str">
            <v>SP</v>
          </cell>
          <cell r="E13">
            <v>10</v>
          </cell>
          <cell r="G13">
            <v>36</v>
          </cell>
          <cell r="H13" t="str">
            <v>FR/SWA/ LSOH</v>
          </cell>
          <cell r="J13" t="str">
            <v>2c 1.5</v>
          </cell>
          <cell r="L13">
            <v>0.5</v>
          </cell>
        </row>
        <row r="25">
          <cell r="B25" t="str">
            <v>CONNECTED TO :</v>
          </cell>
          <cell r="C25" t="str">
            <v>SBE-H-B2-1</v>
          </cell>
          <cell r="G25" t="str">
            <v>TOTAL CONNECTED LOAD PER PHASE</v>
          </cell>
          <cell r="L25">
            <v>19.166666666666668</v>
          </cell>
          <cell r="M25">
            <v>18.666666666666668</v>
          </cell>
          <cell r="N25">
            <v>18.666666666666668</v>
          </cell>
          <cell r="S25" t="str">
            <v>TOTAL</v>
          </cell>
        </row>
        <row r="26">
          <cell r="B26" t="str">
            <v xml:space="preserve">MAX. DEMAND (3 PH.):   </v>
          </cell>
          <cell r="C26">
            <v>56.5</v>
          </cell>
          <cell r="D26" t="str">
            <v>kW</v>
          </cell>
          <cell r="E26" t="str">
            <v xml:space="preserve">AT </v>
          </cell>
          <cell r="F26">
            <v>1</v>
          </cell>
          <cell r="G26" t="str">
            <v>DIVERSITY</v>
          </cell>
          <cell r="K26" t="str">
            <v xml:space="preserve">TOTAL CONNECTED LOAD(3 PH)   </v>
          </cell>
          <cell r="O26">
            <v>56.5</v>
          </cell>
          <cell r="P26" t="str">
            <v>kW</v>
          </cell>
        </row>
        <row r="28">
          <cell r="B28" t="str">
            <v>CONTRACTOR:</v>
          </cell>
          <cell r="L28" t="str">
            <v xml:space="preserve">TEL: </v>
          </cell>
          <cell r="P28" t="str">
            <v xml:space="preserve">FAX: </v>
          </cell>
        </row>
        <row r="30">
          <cell r="B30" t="str">
            <v>Type of Meter (Rating of Incomer):</v>
          </cell>
          <cell r="G30" t="str">
            <v>(1)  Upto 60A</v>
          </cell>
          <cell r="I30" t="str">
            <v>(2)  Upto 100 A</v>
          </cell>
          <cell r="L30" t="str">
            <v>(3)  125 - 160 A</v>
          </cell>
          <cell r="N30" t="str">
            <v>(4)  LV CT ..2500/5.......A</v>
          </cell>
          <cell r="R30" t="str">
            <v>HV  CT .........../..........A</v>
          </cell>
        </row>
        <row r="31">
          <cell r="G31" t="str">
            <v xml:space="preserve">       (1 Phase)</v>
          </cell>
          <cell r="I31" t="str">
            <v xml:space="preserve">       (3 Phase)</v>
          </cell>
          <cell r="L31" t="str">
            <v xml:space="preserve">       </v>
          </cell>
        </row>
      </sheetData>
      <sheetData sheetId="96">
        <row r="2">
          <cell r="B2" t="str">
            <v>PROJECT: DUBAI MARINA MALL AND HOTEL/APARTMENT</v>
          </cell>
          <cell r="J2" t="str">
            <v>DETAILS OF CONNECTED LOAD/ MAX. DEMAND</v>
          </cell>
        </row>
        <row r="3">
          <cell r="J3" t="str">
            <v>OWNER:</v>
          </cell>
          <cell r="K3" t="str">
            <v>EMAAR PROPERTIES PSJC</v>
          </cell>
          <cell r="P3" t="str">
            <v>AREA:</v>
          </cell>
          <cell r="R3" t="str">
            <v>DUBAI,UNITED ARAB EMIRATES</v>
          </cell>
        </row>
        <row r="4">
          <cell r="F4" t="str">
            <v xml:space="preserve"> </v>
          </cell>
          <cell r="P4" t="str">
            <v xml:space="preserve"> LOCATION OF MCP: </v>
          </cell>
          <cell r="S4" t="str">
            <v xml:space="preserve">    BASEMENT 2</v>
          </cell>
        </row>
        <row r="5">
          <cell r="B5" t="str">
            <v xml:space="preserve">MDB / SMDB </v>
          </cell>
          <cell r="C5" t="str">
            <v>LMCP-TP-HA-B2-2 &amp; 2a</v>
          </cell>
          <cell r="J5" t="str">
            <v>CONSULTANT:MEINHARDT SINGAPORE PTE LTD.</v>
          </cell>
        </row>
        <row r="7">
          <cell r="B7" t="str">
            <v>CIRCUIT/</v>
          </cell>
          <cell r="C7" t="str">
            <v>SP/</v>
          </cell>
          <cell r="D7" t="str">
            <v>RATING - AMPS</v>
          </cell>
          <cell r="G7" t="str">
            <v>Isc FAULT</v>
          </cell>
          <cell r="H7" t="str">
            <v>FR or
XLPE</v>
          </cell>
          <cell r="I7" t="str">
            <v>CABLE SIZE</v>
          </cell>
          <cell r="K7" t="str">
            <v>CPC
SIZE-</v>
          </cell>
          <cell r="L7" t="str">
            <v>CONNECTED LOAD - KW</v>
          </cell>
          <cell r="O7" t="str">
            <v>PROPOSED TYPE &amp; NO. OF
KWH METERS</v>
          </cell>
        </row>
        <row r="8">
          <cell r="B8" t="str">
            <v>FEEDER
DB No.</v>
          </cell>
          <cell r="C8" t="str">
            <v>TP</v>
          </cell>
          <cell r="D8" t="str">
            <v>ACB</v>
          </cell>
          <cell r="E8" t="str">
            <v>MCCB</v>
          </cell>
          <cell r="F8" t="str">
            <v>MCB</v>
          </cell>
          <cell r="G8" t="str">
            <v>DUTY
KA</v>
          </cell>
          <cell r="H8" t="str">
            <v>SWA/
LS0H</v>
          </cell>
          <cell r="I8" t="str">
            <v>2/4 X1C
mm^2</v>
          </cell>
          <cell r="J8" t="str">
            <v>2/3/4C
mm^2</v>
          </cell>
          <cell r="K8" t="str">
            <v>1c
mm^2</v>
          </cell>
          <cell r="L8" t="str">
            <v>R-PH
KW</v>
          </cell>
          <cell r="M8" t="str">
            <v>Y-PH
KW</v>
          </cell>
          <cell r="N8" t="str">
            <v>B-PH
KW</v>
          </cell>
          <cell r="O8" t="str">
            <v>1 - PH
(1)</v>
          </cell>
          <cell r="P8" t="str">
            <v>3 - PH
(2)</v>
          </cell>
          <cell r="Q8" t="str">
            <v>3 - PH
(3)</v>
          </cell>
          <cell r="R8" t="str">
            <v>LV/H
CT (4)</v>
          </cell>
          <cell r="S8" t="str">
            <v>REMARKS</v>
          </cell>
        </row>
        <row r="9">
          <cell r="B9" t="str">
            <v>INCOMER (NON AUTO)</v>
          </cell>
          <cell r="C9" t="str">
            <v>TP</v>
          </cell>
          <cell r="E9">
            <v>32</v>
          </cell>
          <cell r="G9">
            <v>36</v>
          </cell>
          <cell r="H9" t="str">
            <v>FR/SWA/ LSOH</v>
          </cell>
          <cell r="J9" t="str">
            <v>4c 6</v>
          </cell>
          <cell r="K9" t="str">
            <v>1c 6</v>
          </cell>
          <cell r="L9">
            <v>2.5</v>
          </cell>
          <cell r="M9">
            <v>3</v>
          </cell>
          <cell r="N9">
            <v>2.5</v>
          </cell>
        </row>
        <row r="10">
          <cell r="B10" t="str">
            <v>OUTGOING</v>
          </cell>
        </row>
        <row r="11">
          <cell r="B11" t="str">
            <v>TRANSFER PUMP (DUTY)</v>
          </cell>
          <cell r="C11" t="str">
            <v>TP</v>
          </cell>
          <cell r="E11">
            <v>20</v>
          </cell>
          <cell r="G11">
            <v>36</v>
          </cell>
          <cell r="H11" t="str">
            <v>FR/SWA/ LSOH</v>
          </cell>
          <cell r="J11" t="str">
            <v>2x3c 4</v>
          </cell>
          <cell r="K11" t="str">
            <v>1c 4</v>
          </cell>
          <cell r="L11">
            <v>2.5</v>
          </cell>
          <cell r="M11">
            <v>2.5</v>
          </cell>
          <cell r="N11">
            <v>2.5</v>
          </cell>
          <cell r="S11" t="str">
            <v>30mA ELCB + S/D STARTER</v>
          </cell>
        </row>
        <row r="12">
          <cell r="B12" t="str">
            <v>TRANSFER PUMP (STAND-BY)</v>
          </cell>
          <cell r="C12" t="str">
            <v>TP</v>
          </cell>
          <cell r="E12">
            <v>20</v>
          </cell>
          <cell r="G12">
            <v>36</v>
          </cell>
          <cell r="H12" t="str">
            <v>FR/SWA/ LSOH</v>
          </cell>
          <cell r="J12" t="str">
            <v>2x3c 4</v>
          </cell>
          <cell r="K12" t="str">
            <v>1c 4</v>
          </cell>
          <cell r="S12" t="str">
            <v>30mA ELCB + S/D STARTER</v>
          </cell>
        </row>
        <row r="13">
          <cell r="B13" t="str">
            <v>CONTROLS</v>
          </cell>
          <cell r="C13" t="str">
            <v>SP</v>
          </cell>
          <cell r="E13">
            <v>10</v>
          </cell>
          <cell r="G13">
            <v>36</v>
          </cell>
          <cell r="H13" t="str">
            <v>FR/SWA/ LSOH</v>
          </cell>
          <cell r="J13" t="str">
            <v>2c 1.5</v>
          </cell>
          <cell r="M13">
            <v>0.5</v>
          </cell>
        </row>
        <row r="25">
          <cell r="B25" t="str">
            <v>CONNECTED TO :</v>
          </cell>
          <cell r="C25" t="str">
            <v>SBE-H-B2-1</v>
          </cell>
          <cell r="G25" t="str">
            <v>TOTAL CONNECTED LOAD PER PHASE</v>
          </cell>
          <cell r="L25">
            <v>2.5</v>
          </cell>
          <cell r="M25">
            <v>3</v>
          </cell>
          <cell r="N25">
            <v>2.5</v>
          </cell>
          <cell r="S25" t="str">
            <v>TOTAL</v>
          </cell>
        </row>
        <row r="26">
          <cell r="B26" t="str">
            <v xml:space="preserve">MAX. DEMAND (3 PH.):   </v>
          </cell>
          <cell r="C26">
            <v>8</v>
          </cell>
          <cell r="D26" t="str">
            <v>kW</v>
          </cell>
          <cell r="E26" t="str">
            <v xml:space="preserve">AT </v>
          </cell>
          <cell r="F26">
            <v>1</v>
          </cell>
          <cell r="G26" t="str">
            <v>DIVERSITY</v>
          </cell>
          <cell r="K26" t="str">
            <v xml:space="preserve">TOTAL CONNECTED LOAD(3 PH)   </v>
          </cell>
          <cell r="O26">
            <v>8</v>
          </cell>
          <cell r="P26" t="str">
            <v>kW</v>
          </cell>
        </row>
        <row r="28">
          <cell r="B28" t="str">
            <v>CONTRACTOR:</v>
          </cell>
          <cell r="L28" t="str">
            <v xml:space="preserve">TEL: </v>
          </cell>
          <cell r="P28" t="str">
            <v xml:space="preserve">FAX: </v>
          </cell>
        </row>
        <row r="30">
          <cell r="B30" t="str">
            <v>Type of Meter (Rating of Incomer):</v>
          </cell>
          <cell r="G30" t="str">
            <v>(1)  Upto 60A</v>
          </cell>
          <cell r="I30" t="str">
            <v>(2)  Upto 100 A</v>
          </cell>
          <cell r="L30" t="str">
            <v>(3)  125 - 160 A</v>
          </cell>
          <cell r="N30" t="str">
            <v>(4)  LV CT ..2500/5.......A</v>
          </cell>
          <cell r="R30" t="str">
            <v>HV  CT .........../..........A</v>
          </cell>
        </row>
        <row r="31">
          <cell r="G31" t="str">
            <v xml:space="preserve">       (1 Phase)</v>
          </cell>
          <cell r="I31" t="str">
            <v xml:space="preserve">       (3 Phase)</v>
          </cell>
          <cell r="L31" t="str">
            <v xml:space="preserve">       </v>
          </cell>
        </row>
      </sheetData>
      <sheetData sheetId="97"/>
      <sheetData sheetId="98">
        <row r="2">
          <cell r="B2" t="str">
            <v>PROJECT: DUBAI MARINA MALL AND HOTEL/APARTMENT</v>
          </cell>
          <cell r="J2" t="str">
            <v>DETAILS OF CONNECTED LOAD/ MAX. DEMAND</v>
          </cell>
        </row>
        <row r="3">
          <cell r="J3" t="str">
            <v>OWNER:</v>
          </cell>
          <cell r="K3" t="str">
            <v>EMAAR PROPERTIES PSJC</v>
          </cell>
          <cell r="P3" t="str">
            <v>AREA:</v>
          </cell>
          <cell r="R3" t="str">
            <v>DUBAI,UNITED ARAB EMIRATES</v>
          </cell>
        </row>
        <row r="4">
          <cell r="F4" t="str">
            <v xml:space="preserve"> </v>
          </cell>
          <cell r="P4" t="str">
            <v xml:space="preserve"> LOCATION OF MCP: </v>
          </cell>
          <cell r="S4" t="str">
            <v xml:space="preserve">    BASEMENT 2</v>
          </cell>
        </row>
        <row r="5">
          <cell r="B5" t="str">
            <v xml:space="preserve">MDB / SMDB </v>
          </cell>
          <cell r="C5" t="str">
            <v>LMCP-HRP-H-B2-2 &amp; 2a</v>
          </cell>
          <cell r="J5" t="str">
            <v>CONSULTANT:MEINHARDT SINGAPORE PTE LTD.</v>
          </cell>
        </row>
        <row r="7">
          <cell r="B7" t="str">
            <v>CIRCUIT/</v>
          </cell>
          <cell r="C7" t="str">
            <v>SP/</v>
          </cell>
          <cell r="D7" t="str">
            <v>RATING - AMPS</v>
          </cell>
          <cell r="G7" t="str">
            <v>Isc FAULT</v>
          </cell>
          <cell r="H7" t="str">
            <v>FR or
XLPE</v>
          </cell>
          <cell r="I7" t="str">
            <v>CABLE SIZE</v>
          </cell>
          <cell r="K7" t="str">
            <v>CPC
SIZE-</v>
          </cell>
          <cell r="L7" t="str">
            <v>CONNECTED LOAD - KW</v>
          </cell>
          <cell r="O7" t="str">
            <v>PROPOSED TYPE &amp; NO. OF
KWH METERS</v>
          </cell>
        </row>
        <row r="8">
          <cell r="B8" t="str">
            <v>FEEDER
DB No.</v>
          </cell>
          <cell r="C8" t="str">
            <v>TP</v>
          </cell>
          <cell r="D8" t="str">
            <v>ACB</v>
          </cell>
          <cell r="E8" t="str">
            <v>MCCB</v>
          </cell>
          <cell r="F8" t="str">
            <v>MCB</v>
          </cell>
          <cell r="G8" t="str">
            <v>DUTY
KA</v>
          </cell>
          <cell r="H8" t="str">
            <v>SWA/
LS0H</v>
          </cell>
          <cell r="I8" t="str">
            <v>2/4 X1C
mm^2</v>
          </cell>
          <cell r="J8" t="str">
            <v>2/3/4C
mm^2</v>
          </cell>
          <cell r="K8" t="str">
            <v>1c
mm^2</v>
          </cell>
          <cell r="L8" t="str">
            <v>R-PH
KW</v>
          </cell>
          <cell r="M8" t="str">
            <v>Y-PH
KW</v>
          </cell>
          <cell r="N8" t="str">
            <v>B-PH
KW</v>
          </cell>
          <cell r="O8" t="str">
            <v>1 - PH
(1)</v>
          </cell>
          <cell r="P8" t="str">
            <v>3 - PH
(2)</v>
          </cell>
          <cell r="Q8" t="str">
            <v>3 - PH
(3)</v>
          </cell>
          <cell r="R8" t="str">
            <v>LV/H
CT (4)</v>
          </cell>
          <cell r="S8" t="str">
            <v>REMARKS</v>
          </cell>
        </row>
        <row r="9">
          <cell r="B9" t="str">
            <v>INCOMER (NON AUTO)</v>
          </cell>
          <cell r="C9" t="str">
            <v>TP</v>
          </cell>
          <cell r="E9">
            <v>20</v>
          </cell>
          <cell r="G9">
            <v>36</v>
          </cell>
          <cell r="H9" t="str">
            <v>FR/SWA/ LSOH</v>
          </cell>
          <cell r="J9" t="str">
            <v>4c 4</v>
          </cell>
          <cell r="K9" t="str">
            <v>1c 4</v>
          </cell>
          <cell r="L9">
            <v>1.4933333333333334</v>
          </cell>
          <cell r="M9">
            <v>1.4933333333333334</v>
          </cell>
          <cell r="N9">
            <v>1.9933333333333334</v>
          </cell>
        </row>
        <row r="10">
          <cell r="B10" t="str">
            <v>OUTGOING</v>
          </cell>
        </row>
        <row r="11">
          <cell r="B11" t="str">
            <v>HOT WATER PUMP (DUTY)</v>
          </cell>
          <cell r="C11" t="str">
            <v>TP</v>
          </cell>
          <cell r="E11">
            <v>20</v>
          </cell>
          <cell r="G11">
            <v>36</v>
          </cell>
          <cell r="H11" t="str">
            <v>FR/SWA/ LSOH</v>
          </cell>
          <cell r="J11" t="str">
            <v>3c 4</v>
          </cell>
          <cell r="K11" t="str">
            <v>1c 4</v>
          </cell>
          <cell r="L11">
            <v>0.7466666666666667</v>
          </cell>
          <cell r="M11">
            <v>0.7466666666666667</v>
          </cell>
          <cell r="N11">
            <v>0.7466666666666667</v>
          </cell>
          <cell r="S11" t="str">
            <v>30mA ELCB + DOL STARTER</v>
          </cell>
        </row>
        <row r="12">
          <cell r="B12" t="str">
            <v>HOT WATER PUMP (DUTY)</v>
          </cell>
          <cell r="C12" t="str">
            <v>TP</v>
          </cell>
          <cell r="E12">
            <v>20</v>
          </cell>
          <cell r="G12">
            <v>36</v>
          </cell>
          <cell r="H12" t="str">
            <v>FR/SWA/ LSOH</v>
          </cell>
          <cell r="J12" t="str">
            <v>3c 4</v>
          </cell>
          <cell r="K12" t="str">
            <v>1c 4</v>
          </cell>
          <cell r="L12">
            <v>0.7466666666666667</v>
          </cell>
          <cell r="M12">
            <v>0.7466666666666667</v>
          </cell>
          <cell r="N12">
            <v>0.7466666666666667</v>
          </cell>
          <cell r="S12" t="str">
            <v>30mA ELCB + DOL STARTER</v>
          </cell>
        </row>
        <row r="13">
          <cell r="B13" t="str">
            <v>CONTROLS</v>
          </cell>
          <cell r="C13" t="str">
            <v>SP</v>
          </cell>
          <cell r="E13">
            <v>10</v>
          </cell>
          <cell r="G13">
            <v>36</v>
          </cell>
          <cell r="H13" t="str">
            <v>FR/SWA/ LSOH</v>
          </cell>
          <cell r="J13" t="str">
            <v>2c 1.5</v>
          </cell>
          <cell r="N13">
            <v>0.5</v>
          </cell>
        </row>
        <row r="25">
          <cell r="B25" t="str">
            <v>CONNECTED TO :</v>
          </cell>
          <cell r="C25" t="str">
            <v>SBE-H-B2-1</v>
          </cell>
          <cell r="G25" t="str">
            <v>TOTAL CONNECTED LOAD PER PHASE</v>
          </cell>
          <cell r="L25">
            <v>1.4933333333333334</v>
          </cell>
          <cell r="M25">
            <v>1.4933333333333334</v>
          </cell>
          <cell r="N25">
            <v>1.9933333333333334</v>
          </cell>
          <cell r="S25" t="str">
            <v>TOTAL</v>
          </cell>
        </row>
        <row r="26">
          <cell r="B26" t="str">
            <v xml:space="preserve">MAX. DEMAND (3 PH.):   </v>
          </cell>
          <cell r="C26">
            <v>4.9800000000000004</v>
          </cell>
          <cell r="D26" t="str">
            <v>kW</v>
          </cell>
          <cell r="E26" t="str">
            <v xml:space="preserve">AT </v>
          </cell>
          <cell r="F26">
            <v>1</v>
          </cell>
          <cell r="G26" t="str">
            <v>DIVERSITY</v>
          </cell>
          <cell r="K26" t="str">
            <v xml:space="preserve">TOTAL CONNECTED LOAD(3 PH)   </v>
          </cell>
          <cell r="O26">
            <v>4.9800000000000004</v>
          </cell>
          <cell r="P26" t="str">
            <v>kW</v>
          </cell>
        </row>
        <row r="28">
          <cell r="B28" t="str">
            <v>CONTRACTOR:</v>
          </cell>
          <cell r="L28" t="str">
            <v xml:space="preserve">TEL: </v>
          </cell>
          <cell r="P28" t="str">
            <v xml:space="preserve">FAX: </v>
          </cell>
        </row>
        <row r="30">
          <cell r="B30" t="str">
            <v>Type of Meter (Rating of Incomer):</v>
          </cell>
          <cell r="G30" t="str">
            <v>(1)  Upto 60A</v>
          </cell>
          <cell r="I30" t="str">
            <v>(2)  Upto 100 A</v>
          </cell>
          <cell r="L30" t="str">
            <v>(3)  125 - 160 A</v>
          </cell>
          <cell r="N30" t="str">
            <v>(4)  LV CT ..2500/5.......A</v>
          </cell>
          <cell r="R30" t="str">
            <v>HV  CT .........../..........A</v>
          </cell>
        </row>
        <row r="31">
          <cell r="G31" t="str">
            <v xml:space="preserve">       (1 Phase)</v>
          </cell>
          <cell r="I31" t="str">
            <v xml:space="preserve">       (3 Phase)</v>
          </cell>
          <cell r="L31" t="str">
            <v xml:space="preserve">       </v>
          </cell>
        </row>
      </sheetData>
      <sheetData sheetId="99">
        <row r="2">
          <cell r="B2" t="str">
            <v>PROJECT: DUBAI MARINA MALL AND HOTEL/APARTMENT</v>
          </cell>
          <cell r="J2" t="str">
            <v>DETAILS OF CONNECTED LOAD/ MAX. DEMAND</v>
          </cell>
        </row>
        <row r="3">
          <cell r="J3" t="str">
            <v>OWNER:</v>
          </cell>
          <cell r="K3" t="str">
            <v>EMAAR PROPERTIES PSJC</v>
          </cell>
          <cell r="P3" t="str">
            <v>AREA:</v>
          </cell>
          <cell r="R3" t="str">
            <v>DUBAI,UNITED ARAB EMIRATES</v>
          </cell>
        </row>
        <row r="4">
          <cell r="F4" t="str">
            <v xml:space="preserve"> </v>
          </cell>
          <cell r="P4" t="str">
            <v xml:space="preserve"> LOCATION OF MCP: </v>
          </cell>
          <cell r="S4" t="str">
            <v xml:space="preserve">    BASEMENT 2 </v>
          </cell>
        </row>
        <row r="5">
          <cell r="B5" t="str">
            <v xml:space="preserve">MDB / SMDB </v>
          </cell>
          <cell r="C5" t="str">
            <v>LMCP-HRP-H-B2-3 &amp; 3a</v>
          </cell>
          <cell r="J5" t="str">
            <v>CONSULTANT:MEINHARDT SINGAPORE PTE LTD.</v>
          </cell>
        </row>
        <row r="7">
          <cell r="B7" t="str">
            <v>CIRCUIT/</v>
          </cell>
          <cell r="C7" t="str">
            <v>SP/</v>
          </cell>
          <cell r="D7" t="str">
            <v>RATING - AMPS</v>
          </cell>
          <cell r="G7" t="str">
            <v>Isc FAULT</v>
          </cell>
          <cell r="H7" t="str">
            <v>FR or
XLPE</v>
          </cell>
          <cell r="I7" t="str">
            <v>CABLE SIZE</v>
          </cell>
          <cell r="K7" t="str">
            <v>CPC
SIZE-</v>
          </cell>
          <cell r="L7" t="str">
            <v>CONNECTED LOAD - KW</v>
          </cell>
          <cell r="O7" t="str">
            <v>PROPOSED TYPE &amp; NO. OF
KWH METERS</v>
          </cell>
        </row>
        <row r="8">
          <cell r="B8" t="str">
            <v>FEEDER
DB No.</v>
          </cell>
          <cell r="C8" t="str">
            <v>TP</v>
          </cell>
          <cell r="D8" t="str">
            <v>ACB</v>
          </cell>
          <cell r="E8" t="str">
            <v>MCCB</v>
          </cell>
          <cell r="F8" t="str">
            <v>MCB</v>
          </cell>
          <cell r="G8" t="str">
            <v>DUTY
KA</v>
          </cell>
          <cell r="H8" t="str">
            <v>SWA/
LS0H</v>
          </cell>
          <cell r="I8" t="str">
            <v>2/4 X1C
mm^2</v>
          </cell>
          <cell r="J8" t="str">
            <v>2/3/4C
mm^2</v>
          </cell>
          <cell r="K8" t="str">
            <v>1c
mm^2</v>
          </cell>
          <cell r="L8" t="str">
            <v>R-PH
KW</v>
          </cell>
          <cell r="M8" t="str">
            <v>Y-PH
KW</v>
          </cell>
          <cell r="N8" t="str">
            <v>B-PH
KW</v>
          </cell>
          <cell r="O8" t="str">
            <v>1 - PH
(1)</v>
          </cell>
          <cell r="P8" t="str">
            <v>3 - PH
(2)</v>
          </cell>
          <cell r="Q8" t="str">
            <v>3 - PH
(3)</v>
          </cell>
          <cell r="R8" t="str">
            <v>LV/H
CT (4)</v>
          </cell>
          <cell r="S8" t="str">
            <v>REMARKS</v>
          </cell>
        </row>
        <row r="9">
          <cell r="B9" t="str">
            <v>INCOMER (NON AUTO)</v>
          </cell>
          <cell r="C9" t="str">
            <v>TP</v>
          </cell>
          <cell r="E9">
            <v>20</v>
          </cell>
          <cell r="G9">
            <v>36</v>
          </cell>
          <cell r="H9" t="str">
            <v>FR/SWA/ LSOH</v>
          </cell>
          <cell r="J9" t="str">
            <v>4c 4</v>
          </cell>
          <cell r="K9" t="str">
            <v>1c 4</v>
          </cell>
          <cell r="L9">
            <v>1.4933333333333334</v>
          </cell>
          <cell r="M9">
            <v>1.9933333333333334</v>
          </cell>
          <cell r="N9">
            <v>1.4933333333333334</v>
          </cell>
        </row>
        <row r="10">
          <cell r="B10" t="str">
            <v>OUTGOING</v>
          </cell>
        </row>
        <row r="11">
          <cell r="B11" t="str">
            <v>HOT WATER PUMP (DUTY)</v>
          </cell>
          <cell r="C11" t="str">
            <v>TP</v>
          </cell>
          <cell r="E11">
            <v>20</v>
          </cell>
          <cell r="G11">
            <v>36</v>
          </cell>
          <cell r="H11" t="str">
            <v>FR/SWA/ LSOH</v>
          </cell>
          <cell r="J11" t="str">
            <v>3c 4</v>
          </cell>
          <cell r="K11" t="str">
            <v>1c 4</v>
          </cell>
          <cell r="L11">
            <v>0.7466666666666667</v>
          </cell>
          <cell r="M11">
            <v>0.7466666666666667</v>
          </cell>
          <cell r="N11">
            <v>0.7466666666666667</v>
          </cell>
          <cell r="S11" t="str">
            <v>30mA ELCB + DOL STARTER</v>
          </cell>
        </row>
        <row r="12">
          <cell r="B12" t="str">
            <v>HOT WATER PUMP (DUTY)</v>
          </cell>
          <cell r="C12" t="str">
            <v>TP</v>
          </cell>
          <cell r="E12">
            <v>20</v>
          </cell>
          <cell r="G12">
            <v>36</v>
          </cell>
          <cell r="H12" t="str">
            <v>FR/SWA/ LSOH</v>
          </cell>
          <cell r="J12" t="str">
            <v>3c 4</v>
          </cell>
          <cell r="K12" t="str">
            <v>1c 4</v>
          </cell>
          <cell r="L12">
            <v>0.7466666666666667</v>
          </cell>
          <cell r="M12">
            <v>0.7466666666666667</v>
          </cell>
          <cell r="N12">
            <v>0.7466666666666667</v>
          </cell>
          <cell r="S12" t="str">
            <v>30mA ELCB + DOL STARTER</v>
          </cell>
        </row>
        <row r="13">
          <cell r="B13" t="str">
            <v>CONTROLS</v>
          </cell>
          <cell r="C13" t="str">
            <v>SP</v>
          </cell>
          <cell r="E13">
            <v>10</v>
          </cell>
          <cell r="G13">
            <v>36</v>
          </cell>
          <cell r="H13" t="str">
            <v>FR/SWA/ LSOH</v>
          </cell>
          <cell r="J13" t="str">
            <v>2c 1.5</v>
          </cell>
          <cell r="M13">
            <v>0.5</v>
          </cell>
        </row>
        <row r="25">
          <cell r="B25" t="str">
            <v>CONNECTED TO :</v>
          </cell>
          <cell r="C25" t="str">
            <v>SBE-H-B2-1</v>
          </cell>
          <cell r="G25" t="str">
            <v>TOTAL CONNECTED LOAD PER PHASE</v>
          </cell>
          <cell r="L25">
            <v>1.4933333333333334</v>
          </cell>
          <cell r="M25">
            <v>1.9933333333333334</v>
          </cell>
          <cell r="N25">
            <v>1.4933333333333334</v>
          </cell>
          <cell r="S25" t="str">
            <v>TOTAL</v>
          </cell>
        </row>
        <row r="26">
          <cell r="B26" t="str">
            <v xml:space="preserve">MAX. DEMAND (3 PH.):   </v>
          </cell>
          <cell r="C26">
            <v>4.9800000000000004</v>
          </cell>
          <cell r="D26" t="str">
            <v>kW</v>
          </cell>
          <cell r="E26" t="str">
            <v xml:space="preserve">AT </v>
          </cell>
          <cell r="F26">
            <v>1</v>
          </cell>
          <cell r="G26" t="str">
            <v>DIVERSITY</v>
          </cell>
          <cell r="K26" t="str">
            <v xml:space="preserve">TOTAL CONNECTED LOAD(3 PH)   </v>
          </cell>
          <cell r="O26">
            <v>4.9800000000000004</v>
          </cell>
          <cell r="P26" t="str">
            <v>kW</v>
          </cell>
        </row>
        <row r="28">
          <cell r="B28" t="str">
            <v>CONTRACTOR:</v>
          </cell>
          <cell r="L28" t="str">
            <v xml:space="preserve">TEL: </v>
          </cell>
          <cell r="P28" t="str">
            <v xml:space="preserve">FAX: </v>
          </cell>
        </row>
        <row r="30">
          <cell r="B30" t="str">
            <v>Type of Meter (Rating of Incomer):</v>
          </cell>
          <cell r="G30" t="str">
            <v>(1)  Upto 60A</v>
          </cell>
          <cell r="I30" t="str">
            <v>(2)  Upto 100 A</v>
          </cell>
          <cell r="L30" t="str">
            <v>(3)  125 - 160 A</v>
          </cell>
          <cell r="N30" t="str">
            <v>(4)  LV CT ..2500/5.......A</v>
          </cell>
          <cell r="R30" t="str">
            <v>HV  CT .........../..........A</v>
          </cell>
        </row>
        <row r="31">
          <cell r="G31" t="str">
            <v xml:space="preserve">       (1 Phase)</v>
          </cell>
          <cell r="I31" t="str">
            <v xml:space="preserve">       (3 Phase)</v>
          </cell>
          <cell r="L31" t="str">
            <v xml:space="preserve">       </v>
          </cell>
        </row>
      </sheetData>
      <sheetData sheetId="100">
        <row r="2">
          <cell r="B2" t="str">
            <v>PROJECT: DUBAI MARINA MALL AND HOTEL/APARTMENT</v>
          </cell>
          <cell r="J2" t="str">
            <v>DETAILS OF CONNECTED LOAD/ MAX. DEMAND</v>
          </cell>
        </row>
        <row r="3">
          <cell r="J3" t="str">
            <v>OWNER:</v>
          </cell>
          <cell r="K3" t="str">
            <v>EMAAR PROPERTIES PSJC</v>
          </cell>
          <cell r="P3" t="str">
            <v>AREA:</v>
          </cell>
          <cell r="R3" t="str">
            <v>DUBAI,UNITED ARAB EMIRATES</v>
          </cell>
        </row>
        <row r="4">
          <cell r="F4" t="str">
            <v xml:space="preserve"> </v>
          </cell>
          <cell r="P4" t="str">
            <v xml:space="preserve"> LOCATION OF MCP: </v>
          </cell>
          <cell r="S4" t="str">
            <v xml:space="preserve">    BASEMENT 2</v>
          </cell>
        </row>
        <row r="5">
          <cell r="B5" t="str">
            <v xml:space="preserve">MDB / SMDB </v>
          </cell>
          <cell r="C5" t="str">
            <v>LMCP-FWP-H-B2-1 &amp; 1a</v>
          </cell>
          <cell r="J5" t="str">
            <v>CONSULTANT:MEINHARDT SINGAPORE PTE LTD.</v>
          </cell>
        </row>
        <row r="7">
          <cell r="B7" t="str">
            <v>CIRCUIT/</v>
          </cell>
          <cell r="C7" t="str">
            <v>SP/</v>
          </cell>
          <cell r="D7" t="str">
            <v>RATING - AMPS</v>
          </cell>
          <cell r="G7" t="str">
            <v>Isc FAULT</v>
          </cell>
          <cell r="H7" t="str">
            <v>FR or
XLPE</v>
          </cell>
          <cell r="I7" t="str">
            <v>CABLE SIZE</v>
          </cell>
          <cell r="K7" t="str">
            <v>CPC
SIZE-</v>
          </cell>
          <cell r="L7" t="str">
            <v>CONNECTED LOAD - KW</v>
          </cell>
          <cell r="O7" t="str">
            <v>PROPOSED TYPE &amp; NO. OF
KWH METERS</v>
          </cell>
        </row>
        <row r="8">
          <cell r="B8" t="str">
            <v>FEEDER
DB No.</v>
          </cell>
          <cell r="C8" t="str">
            <v>TP</v>
          </cell>
          <cell r="D8" t="str">
            <v>ACB</v>
          </cell>
          <cell r="E8" t="str">
            <v>MCCB</v>
          </cell>
          <cell r="F8" t="str">
            <v>MCB</v>
          </cell>
          <cell r="G8" t="str">
            <v>DUTY
KA</v>
          </cell>
          <cell r="H8" t="str">
            <v>SWA/
LS0H</v>
          </cell>
          <cell r="I8" t="str">
            <v>2/4 X1C
mm^2</v>
          </cell>
          <cell r="J8" t="str">
            <v>2/3/4C
mm^2</v>
          </cell>
          <cell r="K8" t="str">
            <v>1c
mm^2</v>
          </cell>
          <cell r="L8" t="str">
            <v>R-PH
KW</v>
          </cell>
          <cell r="M8" t="str">
            <v>Y-PH
KW</v>
          </cell>
          <cell r="N8" t="str">
            <v>B-PH
KW</v>
          </cell>
          <cell r="O8" t="str">
            <v>1 - PH
(1)</v>
          </cell>
          <cell r="P8" t="str">
            <v>3 - PH
(2)</v>
          </cell>
          <cell r="Q8" t="str">
            <v>3 - PH
(3)</v>
          </cell>
          <cell r="R8" t="str">
            <v>LV/H
CT (4)</v>
          </cell>
          <cell r="S8" t="str">
            <v>REMARKS</v>
          </cell>
        </row>
        <row r="9">
          <cell r="B9" t="str">
            <v>INCOMER (NON AUTO)</v>
          </cell>
          <cell r="C9" t="str">
            <v>TP</v>
          </cell>
          <cell r="E9">
            <v>20</v>
          </cell>
          <cell r="G9">
            <v>36</v>
          </cell>
          <cell r="H9" t="str">
            <v>FR/SWA/ LSOH</v>
          </cell>
          <cell r="J9" t="str">
            <v>4c 4</v>
          </cell>
          <cell r="K9" t="str">
            <v>1c 4</v>
          </cell>
          <cell r="L9">
            <v>0.73333333333333339</v>
          </cell>
          <cell r="M9">
            <v>0.73333333333333339</v>
          </cell>
          <cell r="N9">
            <v>1.2333333333333334</v>
          </cell>
        </row>
        <row r="10">
          <cell r="B10" t="str">
            <v>OUTGOING</v>
          </cell>
        </row>
        <row r="11">
          <cell r="B11" t="str">
            <v>BOILER FEED WATER PUMP (DUTY)</v>
          </cell>
          <cell r="C11" t="str">
            <v>TP</v>
          </cell>
          <cell r="E11">
            <v>20</v>
          </cell>
          <cell r="G11">
            <v>36</v>
          </cell>
          <cell r="H11" t="str">
            <v>FR/SWA/ LSOH</v>
          </cell>
          <cell r="J11" t="str">
            <v>3c 4</v>
          </cell>
          <cell r="K11" t="str">
            <v>1c 4</v>
          </cell>
          <cell r="L11">
            <v>0.73333333333333339</v>
          </cell>
          <cell r="M11">
            <v>0.73333333333333339</v>
          </cell>
          <cell r="N11">
            <v>0.73333333333333339</v>
          </cell>
          <cell r="S11" t="str">
            <v>30mA ELCB + DOL STARTER</v>
          </cell>
        </row>
        <row r="12">
          <cell r="B12" t="str">
            <v>BOILER FEED WATER PUMP (STAND-BY)</v>
          </cell>
          <cell r="C12" t="str">
            <v>TP</v>
          </cell>
          <cell r="E12">
            <v>20</v>
          </cell>
          <cell r="G12">
            <v>36</v>
          </cell>
          <cell r="H12" t="str">
            <v>FR/SWA/ LSOH</v>
          </cell>
          <cell r="J12" t="str">
            <v>3c 4</v>
          </cell>
          <cell r="K12" t="str">
            <v>1c 4</v>
          </cell>
          <cell r="S12" t="str">
            <v>30mA ELCB + DOL STARTER</v>
          </cell>
        </row>
        <row r="13">
          <cell r="B13" t="str">
            <v>CONTROLS</v>
          </cell>
          <cell r="C13" t="str">
            <v>SP</v>
          </cell>
          <cell r="E13">
            <v>10</v>
          </cell>
          <cell r="G13">
            <v>36</v>
          </cell>
          <cell r="H13" t="str">
            <v>FR/SWA/ LSOH</v>
          </cell>
          <cell r="J13" t="str">
            <v>2c 1.5</v>
          </cell>
          <cell r="N13">
            <v>0.5</v>
          </cell>
        </row>
        <row r="25">
          <cell r="B25" t="str">
            <v>CONNECTED TO :</v>
          </cell>
          <cell r="C25" t="str">
            <v>SBE-H-B2-1</v>
          </cell>
          <cell r="G25" t="str">
            <v>TOTAL CONNECTED LOAD PER PHASE</v>
          </cell>
          <cell r="L25">
            <v>0.73333333333333339</v>
          </cell>
          <cell r="M25">
            <v>0.73333333333333339</v>
          </cell>
          <cell r="N25">
            <v>1.2333333333333334</v>
          </cell>
          <cell r="S25" t="str">
            <v>TOTAL</v>
          </cell>
        </row>
        <row r="26">
          <cell r="B26" t="str">
            <v xml:space="preserve">MAX. DEMAND (3 PH.):   </v>
          </cell>
          <cell r="C26">
            <v>2.7</v>
          </cell>
          <cell r="D26" t="str">
            <v>kW</v>
          </cell>
          <cell r="E26" t="str">
            <v xml:space="preserve">AT </v>
          </cell>
          <cell r="F26">
            <v>1</v>
          </cell>
          <cell r="G26" t="str">
            <v>DIVERSITY</v>
          </cell>
          <cell r="K26" t="str">
            <v xml:space="preserve">TOTAL CONNECTED LOAD(3 PH)   </v>
          </cell>
          <cell r="O26">
            <v>2.7</v>
          </cell>
          <cell r="P26" t="str">
            <v>kW</v>
          </cell>
        </row>
        <row r="28">
          <cell r="B28" t="str">
            <v>CONTRACTOR:</v>
          </cell>
          <cell r="L28" t="str">
            <v xml:space="preserve">TEL: </v>
          </cell>
          <cell r="P28" t="str">
            <v xml:space="preserve">FAX: </v>
          </cell>
        </row>
        <row r="30">
          <cell r="B30" t="str">
            <v>Type of Meter (Rating of Incomer):</v>
          </cell>
          <cell r="G30" t="str">
            <v>(1)  Upto 60A</v>
          </cell>
          <cell r="I30" t="str">
            <v>(2)  Upto 100 A</v>
          </cell>
          <cell r="L30" t="str">
            <v>(3)  125 - 160 A</v>
          </cell>
          <cell r="N30" t="str">
            <v>(4)  LV CT ..2500/5.......A</v>
          </cell>
          <cell r="R30" t="str">
            <v>HV  CT .........../..........A</v>
          </cell>
        </row>
        <row r="31">
          <cell r="G31" t="str">
            <v xml:space="preserve">       (1 Phase)</v>
          </cell>
          <cell r="I31" t="str">
            <v xml:space="preserve">       (3 Phase)</v>
          </cell>
          <cell r="L31" t="str">
            <v xml:space="preserve">       </v>
          </cell>
        </row>
      </sheetData>
      <sheetData sheetId="101">
        <row r="2">
          <cell r="B2" t="str">
            <v>PROJECT: DUBAI MARINA MALL AND HOTEL/APARTMENT</v>
          </cell>
          <cell r="J2" t="str">
            <v>DETAILS OF CONNECTED LOAD/ MAX. DEMAND</v>
          </cell>
        </row>
        <row r="3">
          <cell r="J3" t="str">
            <v>OWNER:</v>
          </cell>
          <cell r="K3" t="str">
            <v>EMAAR PROPERTIES PSJC</v>
          </cell>
          <cell r="P3" t="str">
            <v>AREA:</v>
          </cell>
          <cell r="R3" t="str">
            <v>DUBAI,UNITED ARAB EMIRATES</v>
          </cell>
        </row>
        <row r="4">
          <cell r="F4" t="str">
            <v xml:space="preserve"> </v>
          </cell>
          <cell r="P4" t="str">
            <v xml:space="preserve"> LOCATION OF MCP: </v>
          </cell>
          <cell r="S4" t="str">
            <v xml:space="preserve">    BASEMENT 2</v>
          </cell>
        </row>
        <row r="5">
          <cell r="B5" t="str">
            <v xml:space="preserve">MDB / SMDB </v>
          </cell>
          <cell r="C5" t="str">
            <v>LMCP-FWP-H-B2-2 &amp; 2a</v>
          </cell>
          <cell r="J5" t="str">
            <v>CONSULTANT:MEINHARDT SINGAPORE PTE LTD.</v>
          </cell>
        </row>
        <row r="7">
          <cell r="B7" t="str">
            <v>CIRCUIT/</v>
          </cell>
          <cell r="C7" t="str">
            <v>SP/</v>
          </cell>
          <cell r="D7" t="str">
            <v>RATING - AMPS</v>
          </cell>
          <cell r="G7" t="str">
            <v>Isc FAULT</v>
          </cell>
          <cell r="H7" t="str">
            <v>FR or
XLPE</v>
          </cell>
          <cell r="I7" t="str">
            <v>CABLE SIZE</v>
          </cell>
          <cell r="K7" t="str">
            <v>CPC
SIZE-</v>
          </cell>
          <cell r="L7" t="str">
            <v>CONNECTED LOAD - KW</v>
          </cell>
          <cell r="O7" t="str">
            <v>PROPOSED TYPE &amp; NO. OF
KWH METERS</v>
          </cell>
        </row>
        <row r="8">
          <cell r="B8" t="str">
            <v>FEEDER
DB No.</v>
          </cell>
          <cell r="C8" t="str">
            <v>TP</v>
          </cell>
          <cell r="D8" t="str">
            <v>ACB</v>
          </cell>
          <cell r="E8" t="str">
            <v>MCCB</v>
          </cell>
          <cell r="F8" t="str">
            <v>MCB</v>
          </cell>
          <cell r="G8" t="str">
            <v>DUTY
KA</v>
          </cell>
          <cell r="H8" t="str">
            <v>SWA/
LS0H</v>
          </cell>
          <cell r="I8" t="str">
            <v>2/4 X1C
mm^2</v>
          </cell>
          <cell r="J8" t="str">
            <v>2/3/4C
mm^2</v>
          </cell>
          <cell r="K8" t="str">
            <v>1c
mm^2</v>
          </cell>
          <cell r="L8" t="str">
            <v>R-PH
KW</v>
          </cell>
          <cell r="M8" t="str">
            <v>Y-PH
KW</v>
          </cell>
          <cell r="N8" t="str">
            <v>B-PH
KW</v>
          </cell>
          <cell r="O8" t="str">
            <v>1 - PH
(1)</v>
          </cell>
          <cell r="P8" t="str">
            <v>3 - PH
(2)</v>
          </cell>
          <cell r="Q8" t="str">
            <v>3 - PH
(3)</v>
          </cell>
          <cell r="R8" t="str">
            <v>LV/H
CT (4)</v>
          </cell>
          <cell r="S8" t="str">
            <v>REMARKS</v>
          </cell>
        </row>
        <row r="9">
          <cell r="B9" t="str">
            <v>INCOMER (NON AUTO)</v>
          </cell>
          <cell r="C9" t="str">
            <v>TP</v>
          </cell>
          <cell r="E9">
            <v>20</v>
          </cell>
          <cell r="G9">
            <v>36</v>
          </cell>
          <cell r="H9" t="str">
            <v>FR/SWA/ LSOH</v>
          </cell>
          <cell r="J9" t="str">
            <v>4c 4</v>
          </cell>
          <cell r="K9" t="str">
            <v>1c 4</v>
          </cell>
          <cell r="L9">
            <v>0.73333333333333339</v>
          </cell>
          <cell r="M9">
            <v>0.73333333333333339</v>
          </cell>
          <cell r="N9">
            <v>1.2333333333333334</v>
          </cell>
        </row>
        <row r="10">
          <cell r="B10" t="str">
            <v>OUTGOING</v>
          </cell>
        </row>
        <row r="11">
          <cell r="B11" t="str">
            <v>BOILER FEED WATER PUMP (DUTY)</v>
          </cell>
          <cell r="C11" t="str">
            <v>TP</v>
          </cell>
          <cell r="E11">
            <v>20</v>
          </cell>
          <cell r="G11">
            <v>36</v>
          </cell>
          <cell r="H11" t="str">
            <v>FR/SWA/ LSOH</v>
          </cell>
          <cell r="J11" t="str">
            <v>3c 4</v>
          </cell>
          <cell r="K11" t="str">
            <v>1c 4</v>
          </cell>
          <cell r="L11">
            <v>0.73333333333333339</v>
          </cell>
          <cell r="M11">
            <v>0.73333333333333339</v>
          </cell>
          <cell r="N11">
            <v>0.73333333333333339</v>
          </cell>
          <cell r="S11" t="str">
            <v>30mA ELCB + DOL STARTER</v>
          </cell>
        </row>
        <row r="12">
          <cell r="B12" t="str">
            <v>BOILER FEED WATER PUMP (STAND-BY)</v>
          </cell>
          <cell r="C12" t="str">
            <v>TP</v>
          </cell>
          <cell r="E12">
            <v>20</v>
          </cell>
          <cell r="G12">
            <v>36</v>
          </cell>
          <cell r="H12" t="str">
            <v>FR/SWA/ LSOH</v>
          </cell>
          <cell r="J12" t="str">
            <v>3c 4</v>
          </cell>
          <cell r="K12" t="str">
            <v>1c 4</v>
          </cell>
          <cell r="S12" t="str">
            <v>30mA ELCB + DOL STARTER</v>
          </cell>
        </row>
        <row r="13">
          <cell r="B13" t="str">
            <v>CONTROLS</v>
          </cell>
          <cell r="C13" t="str">
            <v>SP</v>
          </cell>
          <cell r="E13">
            <v>10</v>
          </cell>
          <cell r="G13">
            <v>36</v>
          </cell>
          <cell r="H13" t="str">
            <v>FR/SWA/ LSOH</v>
          </cell>
          <cell r="J13" t="str">
            <v>2c 1.5</v>
          </cell>
          <cell r="N13">
            <v>0.5</v>
          </cell>
        </row>
        <row r="25">
          <cell r="B25" t="str">
            <v>CONNECTED TO :</v>
          </cell>
          <cell r="C25" t="str">
            <v>SBE-H-B2-1</v>
          </cell>
          <cell r="G25" t="str">
            <v>TOTAL CONNECTED LOAD PER PHASE</v>
          </cell>
          <cell r="L25">
            <v>0.73333333333333339</v>
          </cell>
          <cell r="M25">
            <v>0.73333333333333339</v>
          </cell>
          <cell r="N25">
            <v>1.2333333333333334</v>
          </cell>
          <cell r="S25" t="str">
            <v>TOTAL</v>
          </cell>
        </row>
        <row r="26">
          <cell r="B26" t="str">
            <v xml:space="preserve">MAX. DEMAND (3 PH.):   </v>
          </cell>
          <cell r="C26">
            <v>2.7</v>
          </cell>
          <cell r="D26" t="str">
            <v>kW</v>
          </cell>
          <cell r="E26" t="str">
            <v xml:space="preserve">AT </v>
          </cell>
          <cell r="F26">
            <v>1</v>
          </cell>
          <cell r="G26" t="str">
            <v>DIVERSITY</v>
          </cell>
          <cell r="K26" t="str">
            <v xml:space="preserve">TOTAL CONNECTED LOAD(3 PH)   </v>
          </cell>
          <cell r="O26">
            <v>2.7</v>
          </cell>
          <cell r="P26" t="str">
            <v>kW</v>
          </cell>
        </row>
        <row r="28">
          <cell r="B28" t="str">
            <v>CONTRACTOR:</v>
          </cell>
          <cell r="L28" t="str">
            <v xml:space="preserve">TEL: </v>
          </cell>
          <cell r="P28" t="str">
            <v xml:space="preserve">FAX: </v>
          </cell>
        </row>
        <row r="30">
          <cell r="B30" t="str">
            <v>Type of Meter (Rating of Incomer):</v>
          </cell>
          <cell r="G30" t="str">
            <v>(1)  Upto 60A</v>
          </cell>
          <cell r="I30" t="str">
            <v>(2)  Upto 100 A</v>
          </cell>
          <cell r="L30" t="str">
            <v>(3)  125 - 160 A</v>
          </cell>
          <cell r="N30" t="str">
            <v>(4)  LV CT ..2500/5.......A</v>
          </cell>
          <cell r="R30" t="str">
            <v>HV  CT .........../..........A</v>
          </cell>
        </row>
        <row r="31">
          <cell r="G31" t="str">
            <v xml:space="preserve">       (1 Phase)</v>
          </cell>
          <cell r="I31" t="str">
            <v xml:space="preserve">       (3 Phase)</v>
          </cell>
          <cell r="L31" t="str">
            <v xml:space="preserve">       </v>
          </cell>
        </row>
      </sheetData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>
        <row r="2">
          <cell r="B2" t="str">
            <v>PROJECT: DUBAI MARINA MALL &amp; HOTEL/APARTMENT</v>
          </cell>
          <cell r="J2" t="str">
            <v>DETAILS OF CONNECTED LOAD/ MAX. DEMAND</v>
          </cell>
        </row>
        <row r="3">
          <cell r="J3" t="str">
            <v>OWNER:</v>
          </cell>
          <cell r="K3" t="str">
            <v>EMAAR PROPERTIES PSJC</v>
          </cell>
          <cell r="P3" t="str">
            <v>AREA:</v>
          </cell>
          <cell r="R3" t="str">
            <v>DUBAI,UNITED ARAB EMIRATES</v>
          </cell>
        </row>
        <row r="4">
          <cell r="F4" t="str">
            <v xml:space="preserve"> </v>
          </cell>
          <cell r="P4" t="str">
            <v xml:space="preserve"> LOCATION OF MCP: </v>
          </cell>
          <cell r="S4" t="str">
            <v>LOWER GROUND FLOOR</v>
          </cell>
        </row>
        <row r="5">
          <cell r="B5" t="str">
            <v xml:space="preserve">MDB / SMDB </v>
          </cell>
          <cell r="C5" t="str">
            <v>MCP-H-LG-1</v>
          </cell>
          <cell r="J5" t="str">
            <v>CONSULTANT:MEINHARDT SINGAPORE PTE LTD.</v>
          </cell>
        </row>
        <row r="7">
          <cell r="B7" t="str">
            <v>CIRCUIT/</v>
          </cell>
          <cell r="C7" t="str">
            <v>SP/</v>
          </cell>
          <cell r="D7" t="str">
            <v>RATING - AMPS</v>
          </cell>
          <cell r="G7" t="str">
            <v>Isc FAULT</v>
          </cell>
          <cell r="H7" t="str">
            <v>FR or
XLPE</v>
          </cell>
          <cell r="I7" t="str">
            <v>CABLE SIZE</v>
          </cell>
          <cell r="K7" t="str">
            <v>CPC
SIZE-</v>
          </cell>
          <cell r="L7" t="str">
            <v>CONNECTED LOAD - KW</v>
          </cell>
          <cell r="O7" t="str">
            <v>PROPOSED TYPE &amp; NO. OF
KWH METERS</v>
          </cell>
        </row>
        <row r="8">
          <cell r="B8" t="str">
            <v>FEEDER
DB No.</v>
          </cell>
          <cell r="C8" t="str">
            <v>TP</v>
          </cell>
          <cell r="D8" t="str">
            <v>F/S
ISO</v>
          </cell>
          <cell r="E8" t="str">
            <v>MCCB</v>
          </cell>
          <cell r="F8" t="str">
            <v>MCB</v>
          </cell>
          <cell r="G8" t="str">
            <v>DUTY
KA</v>
          </cell>
          <cell r="H8" t="str">
            <v>SWA/
LS0H</v>
          </cell>
          <cell r="I8" t="str">
            <v>2/4 X1C
mm^2</v>
          </cell>
          <cell r="J8" t="str">
            <v>2/3/4C
mm^2</v>
          </cell>
          <cell r="K8" t="str">
            <v>1c
mm^2</v>
          </cell>
          <cell r="L8" t="str">
            <v>R-PH
KW</v>
          </cell>
          <cell r="M8" t="str">
            <v>Y-PH
KW</v>
          </cell>
          <cell r="N8" t="str">
            <v>B-PH
KW</v>
          </cell>
          <cell r="O8" t="str">
            <v>1 - PH
(1)</v>
          </cell>
          <cell r="P8" t="str">
            <v>3 - PH
(2)</v>
          </cell>
          <cell r="Q8" t="str">
            <v>3 - PH
(3)</v>
          </cell>
          <cell r="R8" t="str">
            <v>LV/H
CT (4)</v>
          </cell>
          <cell r="S8" t="str">
            <v>REMARKS</v>
          </cell>
        </row>
        <row r="9">
          <cell r="B9" t="str">
            <v>INCOMER (NON AUTO)</v>
          </cell>
          <cell r="C9" t="str">
            <v>TP</v>
          </cell>
          <cell r="E9">
            <v>350</v>
          </cell>
          <cell r="G9">
            <v>50</v>
          </cell>
          <cell r="H9" t="str">
            <v>XLPE/SWA/PVC</v>
          </cell>
          <cell r="J9" t="str">
            <v>4c 300</v>
          </cell>
          <cell r="K9" t="str">
            <v>1c 150</v>
          </cell>
          <cell r="L9">
            <v>54.666666666666671</v>
          </cell>
          <cell r="M9">
            <v>54.666666666666671</v>
          </cell>
          <cell r="N9">
            <v>54.166666666666671</v>
          </cell>
        </row>
        <row r="10">
          <cell r="B10" t="str">
            <v>OUTGOING</v>
          </cell>
        </row>
        <row r="11">
          <cell r="B11" t="str">
            <v>I-LMCP-AHU-H-LG-1</v>
          </cell>
          <cell r="C11" t="str">
            <v>TP</v>
          </cell>
          <cell r="E11">
            <v>63</v>
          </cell>
          <cell r="G11">
            <v>36</v>
          </cell>
          <cell r="H11" t="str">
            <v>XLPE/SWA/PVC</v>
          </cell>
          <cell r="J11" t="str">
            <v>4c 25</v>
          </cell>
          <cell r="K11" t="str">
            <v>1c 16</v>
          </cell>
          <cell r="L11">
            <v>6.666666666666667</v>
          </cell>
          <cell r="M11">
            <v>6.166666666666667</v>
          </cell>
          <cell r="N11">
            <v>6.166666666666667</v>
          </cell>
        </row>
        <row r="12">
          <cell r="B12" t="str">
            <v>I-LMCP-EF+HW+AHU-H-LG-2</v>
          </cell>
          <cell r="C12" t="str">
            <v>TP</v>
          </cell>
          <cell r="E12">
            <v>100</v>
          </cell>
          <cell r="G12">
            <v>36</v>
          </cell>
          <cell r="H12" t="str">
            <v>XLPE/SWA/PVC</v>
          </cell>
          <cell r="J12" t="str">
            <v>4c 50</v>
          </cell>
          <cell r="K12" t="str">
            <v>1c 25</v>
          </cell>
          <cell r="L12">
            <v>13.333333333333334</v>
          </cell>
          <cell r="M12">
            <v>13.833333333333334</v>
          </cell>
          <cell r="N12">
            <v>13.333333333333334</v>
          </cell>
        </row>
        <row r="13">
          <cell r="B13" t="str">
            <v>I-LMCP-EF+HW+AHU-H-LGM-1</v>
          </cell>
          <cell r="C13" t="str">
            <v>TP</v>
          </cell>
          <cell r="E13">
            <v>63</v>
          </cell>
          <cell r="G13">
            <v>36</v>
          </cell>
          <cell r="H13" t="str">
            <v>XLPE/SWA/PVC</v>
          </cell>
          <cell r="J13" t="str">
            <v>4c 25</v>
          </cell>
          <cell r="K13" t="str">
            <v>1c 16</v>
          </cell>
          <cell r="L13">
            <v>7.333333333333333</v>
          </cell>
          <cell r="M13">
            <v>7.333333333333333</v>
          </cell>
          <cell r="N13">
            <v>7.833333333333333</v>
          </cell>
        </row>
        <row r="14">
          <cell r="B14" t="str">
            <v>I-LMCP-EF+HW+AHU-H-LGM-2</v>
          </cell>
          <cell r="C14" t="str">
            <v>TP</v>
          </cell>
          <cell r="E14">
            <v>63</v>
          </cell>
          <cell r="G14">
            <v>36</v>
          </cell>
          <cell r="H14" t="str">
            <v>XLPE/SWA/PVC</v>
          </cell>
          <cell r="J14" t="str">
            <v>4c 25</v>
          </cell>
          <cell r="K14" t="str">
            <v>1c 16</v>
          </cell>
          <cell r="L14">
            <v>7.833333333333333</v>
          </cell>
          <cell r="M14">
            <v>7.333333333333333</v>
          </cell>
          <cell r="N14">
            <v>7.333333333333333</v>
          </cell>
        </row>
        <row r="15">
          <cell r="B15" t="str">
            <v>I-LMCP-EF+HW+AHU-H-LG-3</v>
          </cell>
          <cell r="C15" t="str">
            <v>TP</v>
          </cell>
          <cell r="E15">
            <v>80</v>
          </cell>
          <cell r="G15">
            <v>36</v>
          </cell>
          <cell r="H15" t="str">
            <v>XLPE/SWA/PVC</v>
          </cell>
          <cell r="J15" t="str">
            <v>4c 35</v>
          </cell>
          <cell r="K15" t="str">
            <v>1c 16</v>
          </cell>
          <cell r="L15">
            <v>10</v>
          </cell>
          <cell r="M15">
            <v>10.5</v>
          </cell>
          <cell r="N15">
            <v>10</v>
          </cell>
        </row>
        <row r="16">
          <cell r="B16" t="str">
            <v>I-LMCP-EF+HW+AHU-H-LGM-3</v>
          </cell>
          <cell r="C16" t="str">
            <v>TP</v>
          </cell>
          <cell r="E16">
            <v>32</v>
          </cell>
          <cell r="G16">
            <v>36</v>
          </cell>
          <cell r="H16" t="str">
            <v>XLPE/SWA/PVC</v>
          </cell>
          <cell r="J16" t="str">
            <v>4c 6</v>
          </cell>
          <cell r="K16" t="str">
            <v>1c 6</v>
          </cell>
          <cell r="L16">
            <v>3.3333333333333335</v>
          </cell>
          <cell r="M16">
            <v>3.3333333333333335</v>
          </cell>
          <cell r="N16">
            <v>3.8333333333333335</v>
          </cell>
        </row>
        <row r="17">
          <cell r="B17" t="str">
            <v>I-LMCP-PAU-H-B2/B1-1</v>
          </cell>
          <cell r="C17" t="str">
            <v>TP</v>
          </cell>
          <cell r="E17">
            <v>20</v>
          </cell>
          <cell r="G17">
            <v>36</v>
          </cell>
          <cell r="H17" t="str">
            <v>XLPE/SWA/PVC</v>
          </cell>
          <cell r="J17" t="str">
            <v>4c 4</v>
          </cell>
          <cell r="K17" t="str">
            <v>1c 4</v>
          </cell>
          <cell r="L17">
            <v>1.8333333333333333</v>
          </cell>
          <cell r="M17">
            <v>1.3333333333333333</v>
          </cell>
          <cell r="N17">
            <v>1.3333333333333333</v>
          </cell>
        </row>
        <row r="18">
          <cell r="B18" t="str">
            <v xml:space="preserve">I-LMCP-PAU/KEF-H-LGM-1 </v>
          </cell>
          <cell r="C18" t="str">
            <v>TP</v>
          </cell>
          <cell r="E18">
            <v>32</v>
          </cell>
          <cell r="G18">
            <v>36</v>
          </cell>
          <cell r="H18" t="str">
            <v>XLPE/SWA/PVC</v>
          </cell>
          <cell r="J18" t="str">
            <v>4c 6</v>
          </cell>
          <cell r="K18" t="str">
            <v>1c 6</v>
          </cell>
          <cell r="L18">
            <v>4.333333333333333</v>
          </cell>
          <cell r="M18">
            <v>4.833333333333333</v>
          </cell>
          <cell r="N18">
            <v>4.333333333333333</v>
          </cell>
        </row>
        <row r="25">
          <cell r="B25" t="str">
            <v>CONNECTED TO :</v>
          </cell>
          <cell r="C25" t="str">
            <v>MSB-H-3</v>
          </cell>
          <cell r="G25" t="str">
            <v>TOTAL CONNECTED LOAD PER PHASE</v>
          </cell>
          <cell r="L25">
            <v>54.666666666666671</v>
          </cell>
          <cell r="M25">
            <v>54.666666666666671</v>
          </cell>
          <cell r="N25">
            <v>54.166666666666671</v>
          </cell>
          <cell r="S25" t="str">
            <v>TOTAL</v>
          </cell>
        </row>
        <row r="26">
          <cell r="B26" t="str">
            <v xml:space="preserve">MAX. DEMAND (3 PH.):   </v>
          </cell>
          <cell r="C26">
            <v>147.15</v>
          </cell>
          <cell r="D26" t="str">
            <v>kW</v>
          </cell>
          <cell r="E26" t="str">
            <v xml:space="preserve">AT </v>
          </cell>
          <cell r="F26">
            <v>0.9</v>
          </cell>
          <cell r="G26" t="str">
            <v>DIVERSITY</v>
          </cell>
          <cell r="K26" t="str">
            <v xml:space="preserve">TOTAL CONNECTED LOAD(3 PH)   </v>
          </cell>
          <cell r="O26">
            <v>163.5</v>
          </cell>
          <cell r="P26" t="str">
            <v>kW</v>
          </cell>
        </row>
        <row r="28">
          <cell r="B28" t="str">
            <v>CONTRACTOR:</v>
          </cell>
          <cell r="L28" t="str">
            <v xml:space="preserve">TEL: </v>
          </cell>
          <cell r="P28" t="str">
            <v xml:space="preserve">FAX: </v>
          </cell>
        </row>
        <row r="30">
          <cell r="B30" t="str">
            <v>Type of Meter (Rating of Incomer):</v>
          </cell>
          <cell r="G30" t="str">
            <v>(1)  Upto 60A</v>
          </cell>
          <cell r="I30" t="str">
            <v>(2)  Upto 100 A</v>
          </cell>
          <cell r="L30" t="str">
            <v>(3)  125 - 160 A</v>
          </cell>
          <cell r="N30" t="str">
            <v>(4)  LV CT ..2500/5.......A</v>
          </cell>
          <cell r="R30" t="str">
            <v>HV  CT .........../..........A</v>
          </cell>
        </row>
        <row r="31">
          <cell r="G31" t="str">
            <v xml:space="preserve">       (1 Phase)</v>
          </cell>
          <cell r="I31" t="str">
            <v xml:space="preserve">       (3 Phase)</v>
          </cell>
          <cell r="L31" t="str">
            <v xml:space="preserve">       </v>
          </cell>
        </row>
      </sheetData>
      <sheetData sheetId="117">
        <row r="2">
          <cell r="B2" t="str">
            <v>PROJECT: DUBAI MARINA MALL &amp; HOTEL APARTMENTS</v>
          </cell>
          <cell r="J2" t="str">
            <v>DETAILS OF CONNECTED LOAD/ MAX. DEMAND</v>
          </cell>
        </row>
        <row r="3">
          <cell r="J3" t="str">
            <v>OWNER:</v>
          </cell>
          <cell r="K3" t="str">
            <v>EMAAR PROPERTIES PSJC</v>
          </cell>
          <cell r="P3" t="str">
            <v>AREA:</v>
          </cell>
          <cell r="R3" t="str">
            <v>DUBAI,UNITED ARAB EMIRATES</v>
          </cell>
        </row>
        <row r="4">
          <cell r="F4" t="str">
            <v xml:space="preserve"> </v>
          </cell>
          <cell r="P4" t="str">
            <v xml:space="preserve"> LOCATION OF MCP: </v>
          </cell>
          <cell r="S4" t="str">
            <v>BASEMENT 1</v>
          </cell>
        </row>
        <row r="5">
          <cell r="B5" t="str">
            <v xml:space="preserve">MDB / SMDB </v>
          </cell>
          <cell r="C5" t="str">
            <v>LMCP-AHU-H-LG-1</v>
          </cell>
          <cell r="J5" t="str">
            <v>CONSULTANT:MEINHARDT SINGAPORE PTE LTD.</v>
          </cell>
        </row>
        <row r="7">
          <cell r="B7" t="str">
            <v>CIRCUIT/</v>
          </cell>
          <cell r="C7" t="str">
            <v>SP/</v>
          </cell>
          <cell r="D7" t="str">
            <v>RATING - AMPS</v>
          </cell>
          <cell r="G7" t="str">
            <v>Isc FAULT</v>
          </cell>
          <cell r="H7" t="str">
            <v>FR or
XLPE</v>
          </cell>
          <cell r="I7" t="str">
            <v>CABLE SIZE</v>
          </cell>
          <cell r="K7" t="str">
            <v>CPC
SIZE-</v>
          </cell>
          <cell r="L7" t="str">
            <v>CONNECTED LOAD - KW</v>
          </cell>
          <cell r="O7" t="str">
            <v>PROPOSED TYPE &amp; NO. OF
KWH METERS</v>
          </cell>
        </row>
        <row r="8">
          <cell r="B8" t="str">
            <v>FEEDER
DB No.</v>
          </cell>
          <cell r="C8" t="str">
            <v>TP</v>
          </cell>
          <cell r="D8" t="str">
            <v>F/S
ISO</v>
          </cell>
          <cell r="E8" t="str">
            <v>MCCB</v>
          </cell>
          <cell r="F8" t="str">
            <v>MCB</v>
          </cell>
          <cell r="G8" t="str">
            <v>DUTY
KA</v>
          </cell>
          <cell r="H8" t="str">
            <v>SWA/
LS0H</v>
          </cell>
          <cell r="I8" t="str">
            <v>2/4 X1C
mm^2</v>
          </cell>
          <cell r="J8" t="str">
            <v>2/3/4C
mm^2</v>
          </cell>
          <cell r="K8" t="str">
            <v>1c
mm^2</v>
          </cell>
          <cell r="L8" t="str">
            <v>R-PH
KW</v>
          </cell>
          <cell r="M8" t="str">
            <v>Y-PH
KW</v>
          </cell>
          <cell r="N8" t="str">
            <v>B-PH
KW</v>
          </cell>
          <cell r="O8" t="str">
            <v>1 - PH
(1)</v>
          </cell>
          <cell r="P8" t="str">
            <v>3 - PH
(2)</v>
          </cell>
          <cell r="Q8" t="str">
            <v>3 - PH
(3)</v>
          </cell>
          <cell r="R8" t="str">
            <v>LV/H
CT (4)</v>
          </cell>
          <cell r="S8" t="str">
            <v>REMARKS</v>
          </cell>
        </row>
        <row r="9">
          <cell r="B9" t="str">
            <v>INCOMER (NON AUTO)</v>
          </cell>
          <cell r="C9" t="str">
            <v>TP</v>
          </cell>
          <cell r="E9">
            <v>63</v>
          </cell>
          <cell r="G9">
            <v>36</v>
          </cell>
          <cell r="H9" t="str">
            <v>XLPE/SWA/PVC</v>
          </cell>
          <cell r="J9" t="str">
            <v>4c 25</v>
          </cell>
          <cell r="K9" t="str">
            <v>1c 16</v>
          </cell>
          <cell r="L9">
            <v>6.666666666666667</v>
          </cell>
          <cell r="M9">
            <v>6.166666666666667</v>
          </cell>
          <cell r="N9">
            <v>6.166666666666667</v>
          </cell>
        </row>
        <row r="10">
          <cell r="B10" t="str">
            <v>OUTGOING</v>
          </cell>
        </row>
        <row r="11">
          <cell r="B11" t="str">
            <v>AHU-H-LG-1</v>
          </cell>
          <cell r="C11" t="str">
            <v>TP</v>
          </cell>
          <cell r="E11">
            <v>40</v>
          </cell>
          <cell r="G11">
            <v>36</v>
          </cell>
          <cell r="H11" t="str">
            <v>XLPE/SWA/PVC</v>
          </cell>
          <cell r="J11" t="str">
            <v>2x3c 10</v>
          </cell>
          <cell r="K11" t="str">
            <v>1c 10</v>
          </cell>
          <cell r="L11">
            <v>6.166666666666667</v>
          </cell>
          <cell r="M11">
            <v>6.166666666666667</v>
          </cell>
          <cell r="N11">
            <v>6.166666666666667</v>
          </cell>
          <cell r="S11" t="str">
            <v>100mA ELCB + S/D STARTER</v>
          </cell>
        </row>
        <row r="12">
          <cell r="B12" t="str">
            <v>CONTROLS</v>
          </cell>
          <cell r="C12" t="str">
            <v>SP</v>
          </cell>
          <cell r="E12">
            <v>10</v>
          </cell>
          <cell r="G12">
            <v>36</v>
          </cell>
          <cell r="H12" t="str">
            <v>XLPE/SWA/PVC</v>
          </cell>
          <cell r="J12" t="str">
            <v>2c 1.5</v>
          </cell>
          <cell r="L12">
            <v>0.5</v>
          </cell>
        </row>
        <row r="25">
          <cell r="B25" t="str">
            <v>CONNECTED TO :</v>
          </cell>
          <cell r="C25" t="str">
            <v>MCP-H-LG-1</v>
          </cell>
          <cell r="G25" t="str">
            <v>TOTAL CONNECTED LOAD PER PHASE</v>
          </cell>
          <cell r="L25">
            <v>6.666666666666667</v>
          </cell>
          <cell r="M25">
            <v>6.166666666666667</v>
          </cell>
          <cell r="N25">
            <v>6.166666666666667</v>
          </cell>
          <cell r="S25" t="str">
            <v>TOTAL</v>
          </cell>
        </row>
        <row r="26">
          <cell r="B26" t="str">
            <v xml:space="preserve">MAX. DEMAND (3 PH.):   </v>
          </cell>
          <cell r="C26">
            <v>19</v>
          </cell>
          <cell r="D26" t="str">
            <v>kW</v>
          </cell>
          <cell r="E26" t="str">
            <v xml:space="preserve">AT </v>
          </cell>
          <cell r="F26">
            <v>1</v>
          </cell>
          <cell r="G26" t="str">
            <v>DIVERSITY</v>
          </cell>
          <cell r="K26" t="str">
            <v xml:space="preserve">TOTAL CONNECTED LOAD(3 PH)   </v>
          </cell>
          <cell r="O26">
            <v>19</v>
          </cell>
          <cell r="P26" t="str">
            <v>kW</v>
          </cell>
        </row>
        <row r="28">
          <cell r="B28" t="str">
            <v>CONTRACTOR:</v>
          </cell>
          <cell r="L28" t="str">
            <v xml:space="preserve">TEL: </v>
          </cell>
          <cell r="P28" t="str">
            <v xml:space="preserve">FAX: </v>
          </cell>
        </row>
        <row r="30">
          <cell r="B30" t="str">
            <v>Type of Meter (Rating of Incomer):</v>
          </cell>
          <cell r="G30" t="str">
            <v>(1)  Upto 60A</v>
          </cell>
          <cell r="I30" t="str">
            <v>(2)  Upto 100 A</v>
          </cell>
          <cell r="L30" t="str">
            <v>(3)  125 - 160 A</v>
          </cell>
          <cell r="N30" t="str">
            <v>(4)  LV CT ..2500/5.......A</v>
          </cell>
          <cell r="R30" t="str">
            <v>HV  CT .........../..........A</v>
          </cell>
        </row>
        <row r="31">
          <cell r="G31" t="str">
            <v xml:space="preserve">       (1 Phase)</v>
          </cell>
          <cell r="I31" t="str">
            <v xml:space="preserve">       (3 Phase)</v>
          </cell>
          <cell r="L31" t="str">
            <v xml:space="preserve">       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SB_H_COVER"/>
      <sheetName val="LVSB_H_4"/>
      <sheetName val="MSB_H_4"/>
      <sheetName val="SB_H_G_2"/>
      <sheetName val="LMCP_AHU_H_G_1"/>
      <sheetName val="LMCP_AHU_H_G_2"/>
      <sheetName val="LMCP_AHU_H_2_2"/>
      <sheetName val="LMCP_AHU_H_2_5"/>
      <sheetName val="LMCP_AHU_H_3_1"/>
      <sheetName val="LMCP_AHU_H_3_2"/>
      <sheetName val="MCP_H_1_1"/>
      <sheetName val="LMCP_AHU_H_1_1"/>
      <sheetName val="LMCP_AHU_H_1_2"/>
      <sheetName val="LMCP_AHU_H_1_3"/>
      <sheetName val="LMCP_PAU_H_1_2"/>
      <sheetName val="MCP_H_LG_1"/>
      <sheetName val="LMCP_AHU_H_LG_1"/>
      <sheetName val="LMCP_AHU_H_LG_2"/>
      <sheetName val="LMCP_AHU_H_LG_3"/>
      <sheetName val="LMCP_PAU_H_LGM_1"/>
      <sheetName val="SB_H_LG_1"/>
      <sheetName val="LSB_H_14M_1"/>
      <sheetName val="SBE_H_B2_1"/>
      <sheetName val="LMCP_TEP_HA_B2_1 _ 1a"/>
      <sheetName val="LMCP_TEP_HA_B2_2 _ 2a"/>
      <sheetName val="LMCP_KEP_HA_B2_1 _ 1a"/>
      <sheetName val="LMCP_TP_HA_B2_1 _ 1a"/>
      <sheetName val="LMCP_TP_HA_B2_2 _ 2a"/>
      <sheetName val="LMCP_HRP_H_B2_2 _ 2a"/>
      <sheetName val="LMCP_HRP_H_B2_3 _ 3a"/>
      <sheetName val="LMCP_HRP_H_B2_4 _ 4a"/>
      <sheetName val="LMCP_FWP_H_B2_1 _ 1a"/>
      <sheetName val="LMCP_FWP_H_B2_2 _ 2a"/>
      <sheetName val="LMCP_FOTP_H_LG_1"/>
      <sheetName val="LMCP_FOTP_H_LG_2"/>
      <sheetName val="LMCP_TEP_TL_LG_1 _ 1a"/>
      <sheetName val="MCPE_H_G_1"/>
      <sheetName val="LMCP_SPF_H_G_1"/>
      <sheetName val="LMCP_SPF_H_G_2"/>
      <sheetName val="LMCP_SPF_H_G_3"/>
      <sheetName val="LMCP_SVF_H_G_1"/>
      <sheetName val="LMCP_SVF_H_G_4"/>
      <sheetName val="LMCP_SEF_H_5_1"/>
      <sheetName val="LMCP_SEF_H_3_1"/>
      <sheetName val="LMCP_SEF_H_3_2"/>
      <sheetName val="MCP_H_5_1"/>
      <sheetName val="LMCP_PAU_H_5_1"/>
      <sheetName val="LMCP_AHU_H_4_1"/>
      <sheetName val="LMCP_KEF_H_LGM_1"/>
      <sheetName val="SB_H_G_1"/>
      <sheetName val="DB_H_G_1_1_"/>
      <sheetName val="DB_H_G_1_2_ "/>
      <sheetName val="DB_H_1_1"/>
      <sheetName val="DB_H_1_2_1_"/>
      <sheetName val="DB_H_1_2_2_"/>
      <sheetName val="DB_H_1_3"/>
      <sheetName val="DB_H_3_B_1_1_"/>
      <sheetName val="DB_H_3_B_1_2_"/>
      <sheetName val="SB_HC_LG_1"/>
      <sheetName val="MB_H_1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>
        <row r="2">
          <cell r="B2" t="str">
            <v>PROJECT: DUBAI MARINA MALL &amp; HOTEL/APARTMENT</v>
          </cell>
          <cell r="J2" t="str">
            <v>DETAILS OF CONNECTED LOAD/ MAX. DEMAND</v>
          </cell>
        </row>
        <row r="3">
          <cell r="J3" t="str">
            <v>OWNER:</v>
          </cell>
          <cell r="K3" t="str">
            <v>EMAAR PROPERTIES PSJC</v>
          </cell>
          <cell r="P3" t="str">
            <v>AREA:</v>
          </cell>
          <cell r="R3" t="str">
            <v>DUBAI,UNITED ARAB EMIRATES</v>
          </cell>
        </row>
        <row r="4">
          <cell r="F4" t="str">
            <v xml:space="preserve"> </v>
          </cell>
          <cell r="P4" t="str">
            <v xml:space="preserve"> LOCATION OF MCP: </v>
          </cell>
          <cell r="S4" t="str">
            <v>5TH FLOOR</v>
          </cell>
        </row>
        <row r="5">
          <cell r="B5" t="str">
            <v xml:space="preserve">MDB / SMDB </v>
          </cell>
          <cell r="C5" t="str">
            <v>MCP-H-5-1</v>
          </cell>
          <cell r="J5" t="str">
            <v>CONSULTANT:MEINHARDT SINGAPORE PTE LTD.</v>
          </cell>
        </row>
        <row r="7">
          <cell r="B7" t="str">
            <v>CIRCUIT/</v>
          </cell>
          <cell r="C7" t="str">
            <v>SP/</v>
          </cell>
          <cell r="D7" t="str">
            <v>RATING - AMPS</v>
          </cell>
          <cell r="G7" t="str">
            <v>Isc FAULT</v>
          </cell>
          <cell r="H7" t="str">
            <v>FR or
XLPE</v>
          </cell>
          <cell r="I7" t="str">
            <v>CABLE SIZE</v>
          </cell>
          <cell r="K7" t="str">
            <v>CPC
SIZE-</v>
          </cell>
          <cell r="L7" t="str">
            <v>CONNECTED LOAD - KW</v>
          </cell>
          <cell r="O7" t="str">
            <v>PROPOSED TYPE &amp; NO. OF
KWH METERS</v>
          </cell>
        </row>
        <row r="8">
          <cell r="B8" t="str">
            <v>FEEDER
DB No.</v>
          </cell>
          <cell r="C8" t="str">
            <v>TP</v>
          </cell>
          <cell r="D8" t="str">
            <v>F/S
ISO</v>
          </cell>
          <cell r="E8" t="str">
            <v>MCCB</v>
          </cell>
          <cell r="F8" t="str">
            <v>MCB</v>
          </cell>
          <cell r="G8" t="str">
            <v>DUTY
KA</v>
          </cell>
          <cell r="H8" t="str">
            <v>SWA/
LS0H</v>
          </cell>
          <cell r="I8" t="str">
            <v>2/4 X1C
mm^2</v>
          </cell>
          <cell r="J8" t="str">
            <v>2/3/4C
mm^2</v>
          </cell>
          <cell r="K8" t="str">
            <v>1c
mm^2</v>
          </cell>
          <cell r="L8" t="str">
            <v>R-PH
KW</v>
          </cell>
          <cell r="M8" t="str">
            <v>Y-PH
KW</v>
          </cell>
          <cell r="N8" t="str">
            <v>B-PH
KW</v>
          </cell>
          <cell r="O8" t="str">
            <v>1 - PH
(1)</v>
          </cell>
          <cell r="P8" t="str">
            <v>3 - PH
(2)</v>
          </cell>
          <cell r="Q8" t="str">
            <v>3 - PH
(3)</v>
          </cell>
          <cell r="R8" t="str">
            <v>LV/H
CT (4)</v>
          </cell>
          <cell r="S8" t="str">
            <v>REMARKS</v>
          </cell>
        </row>
        <row r="9">
          <cell r="B9" t="str">
            <v>INCOMER (NON AUTO)</v>
          </cell>
          <cell r="C9" t="str">
            <v>TP</v>
          </cell>
          <cell r="E9">
            <v>125</v>
          </cell>
          <cell r="G9">
            <v>50</v>
          </cell>
          <cell r="H9" t="str">
            <v>XLPE/SWA/ LSOH</v>
          </cell>
          <cell r="J9" t="str">
            <v>4c 50</v>
          </cell>
          <cell r="K9" t="str">
            <v>1c 25</v>
          </cell>
          <cell r="L9">
            <v>18.866666666666667</v>
          </cell>
          <cell r="M9">
            <v>17.866666666666667</v>
          </cell>
          <cell r="N9">
            <v>18.366666666666667</v>
          </cell>
        </row>
        <row r="10">
          <cell r="B10" t="str">
            <v>OUTGOING</v>
          </cell>
        </row>
        <row r="11">
          <cell r="B11" t="str">
            <v>I-LMCP-PAU-H-5-1</v>
          </cell>
          <cell r="C11" t="str">
            <v>TP</v>
          </cell>
          <cell r="E11">
            <v>80</v>
          </cell>
          <cell r="G11">
            <v>35</v>
          </cell>
          <cell r="H11" t="str">
            <v>XLPE/SWA/ LSOH</v>
          </cell>
          <cell r="J11" t="str">
            <v>4c 25</v>
          </cell>
          <cell r="K11" t="str">
            <v>1c 16</v>
          </cell>
          <cell r="L11">
            <v>10.3</v>
          </cell>
          <cell r="M11">
            <v>10.3</v>
          </cell>
          <cell r="N11">
            <v>10.8</v>
          </cell>
        </row>
        <row r="12">
          <cell r="B12" t="str">
            <v>I-LMCP-AHU-H-4-1</v>
          </cell>
          <cell r="C12" t="str">
            <v>TP</v>
          </cell>
          <cell r="E12">
            <v>80</v>
          </cell>
          <cell r="G12">
            <v>35</v>
          </cell>
          <cell r="H12" t="str">
            <v>XLPE/SWA/ LSOH</v>
          </cell>
          <cell r="J12" t="str">
            <v>4c 25</v>
          </cell>
          <cell r="K12" t="str">
            <v>1c 16</v>
          </cell>
          <cell r="L12">
            <v>6.833333333333333</v>
          </cell>
          <cell r="M12">
            <v>6.333333333333333</v>
          </cell>
          <cell r="N12">
            <v>6.333333333333333</v>
          </cell>
        </row>
        <row r="13">
          <cell r="B13" t="str">
            <v>I-LMCP-KEF-H-LGM-1</v>
          </cell>
          <cell r="C13" t="str">
            <v>TP</v>
          </cell>
          <cell r="E13">
            <v>32</v>
          </cell>
          <cell r="G13">
            <v>22</v>
          </cell>
          <cell r="H13" t="str">
            <v>XLPE/SWA/ LSOH</v>
          </cell>
          <cell r="J13" t="str">
            <v>4c 6</v>
          </cell>
          <cell r="K13" t="str">
            <v>1c 6</v>
          </cell>
          <cell r="L13">
            <v>1.7333333333333334</v>
          </cell>
          <cell r="M13">
            <v>1.2333333333333334</v>
          </cell>
          <cell r="N13">
            <v>1.2333333333333334</v>
          </cell>
        </row>
        <row r="25">
          <cell r="B25" t="str">
            <v>CONNECTED TO :</v>
          </cell>
          <cell r="C25" t="str">
            <v>MSB-H-4</v>
          </cell>
          <cell r="G25" t="str">
            <v>TOTAL CONNECTED LOAD PER PHASE</v>
          </cell>
          <cell r="L25">
            <v>18.866666666666667</v>
          </cell>
          <cell r="M25">
            <v>17.866666666666667</v>
          </cell>
          <cell r="N25">
            <v>18.366666666666667</v>
          </cell>
          <cell r="S25" t="str">
            <v>TOTAL</v>
          </cell>
        </row>
        <row r="26">
          <cell r="B26" t="str">
            <v xml:space="preserve">MAX. DEMAND (3 PH.):   </v>
          </cell>
          <cell r="C26">
            <v>49.59</v>
          </cell>
          <cell r="D26" t="str">
            <v>kW</v>
          </cell>
          <cell r="E26" t="str">
            <v xml:space="preserve">AT </v>
          </cell>
          <cell r="F26">
            <v>0.9</v>
          </cell>
          <cell r="G26" t="str">
            <v>DIVERSITY</v>
          </cell>
          <cell r="K26" t="str">
            <v xml:space="preserve">TOTAL CONNECTED LOAD(3 PH)   </v>
          </cell>
          <cell r="O26">
            <v>55.1</v>
          </cell>
          <cell r="P26" t="str">
            <v>kW</v>
          </cell>
        </row>
        <row r="28">
          <cell r="B28" t="str">
            <v>CONTRACTOR:</v>
          </cell>
          <cell r="L28" t="str">
            <v xml:space="preserve">TEL: </v>
          </cell>
          <cell r="P28" t="str">
            <v xml:space="preserve">FAX: </v>
          </cell>
        </row>
        <row r="30">
          <cell r="B30" t="str">
            <v>Type of Meter (Rating of Incomer):</v>
          </cell>
          <cell r="G30" t="str">
            <v>(1)  Upto 60A</v>
          </cell>
          <cell r="I30" t="str">
            <v>(2)  Upto 100 A</v>
          </cell>
          <cell r="L30" t="str">
            <v>(3)  125 - 160 A</v>
          </cell>
          <cell r="N30" t="str">
            <v>(4)  LV CT ..2500/5.......A</v>
          </cell>
          <cell r="R30" t="str">
            <v>HV  CT .........../..........A</v>
          </cell>
        </row>
        <row r="31">
          <cell r="G31" t="str">
            <v xml:space="preserve">       (1 Phase)</v>
          </cell>
          <cell r="I31" t="str">
            <v xml:space="preserve">       (3 Phase)</v>
          </cell>
          <cell r="L31" t="str">
            <v xml:space="preserve">       </v>
          </cell>
        </row>
      </sheetData>
      <sheetData sheetId="46" refreshError="1">
        <row r="2">
          <cell r="B2" t="str">
            <v>PROJECT: DUBAI MARINA MALL &amp; HOTEL/APARTMENTS</v>
          </cell>
          <cell r="J2" t="str">
            <v>DETAILS OF CONNECTED LOAD/ MAX. DEMAND</v>
          </cell>
        </row>
        <row r="3">
          <cell r="J3" t="str">
            <v>OWNER:</v>
          </cell>
          <cell r="K3" t="str">
            <v>EMAAR PROPERTIES PSJC</v>
          </cell>
          <cell r="P3" t="str">
            <v>AREA:</v>
          </cell>
          <cell r="R3" t="str">
            <v>DUBAI,UNITED ARAB EMIRATES</v>
          </cell>
        </row>
        <row r="4">
          <cell r="F4" t="str">
            <v xml:space="preserve"> </v>
          </cell>
          <cell r="P4" t="str">
            <v xml:space="preserve"> LOCATION OF MCP: </v>
          </cell>
          <cell r="S4" t="str">
            <v>5TH FLOOR</v>
          </cell>
        </row>
        <row r="5">
          <cell r="B5" t="str">
            <v xml:space="preserve">MDB / SMDB </v>
          </cell>
          <cell r="C5" t="str">
            <v>LMCP-PAU-H-5-1</v>
          </cell>
          <cell r="J5" t="str">
            <v>CONSULTANT:MEINHARDT SINGAPORE PTE LTD.</v>
          </cell>
        </row>
        <row r="7">
          <cell r="B7" t="str">
            <v>CIRCUIT/</v>
          </cell>
          <cell r="C7" t="str">
            <v>SP/</v>
          </cell>
          <cell r="D7" t="str">
            <v>RATING - AMPS</v>
          </cell>
          <cell r="G7" t="str">
            <v>Isc FAULT</v>
          </cell>
          <cell r="H7" t="str">
            <v>FR or
XLPE</v>
          </cell>
          <cell r="I7" t="str">
            <v>CABLE SIZE</v>
          </cell>
          <cell r="K7" t="str">
            <v>CPC
SIZE-</v>
          </cell>
          <cell r="L7" t="str">
            <v>CONNECTED LOAD - KW</v>
          </cell>
          <cell r="O7" t="str">
            <v>PROPOSED TYPE &amp; NO. OF
KWH METERS</v>
          </cell>
        </row>
        <row r="8">
          <cell r="B8" t="str">
            <v>FEEDER
DB No.</v>
          </cell>
          <cell r="C8" t="str">
            <v>TP</v>
          </cell>
          <cell r="D8" t="str">
            <v>F/S
ISO</v>
          </cell>
          <cell r="E8" t="str">
            <v>MCCB</v>
          </cell>
          <cell r="F8" t="str">
            <v>MCB</v>
          </cell>
          <cell r="G8" t="str">
            <v>DUTY
KA</v>
          </cell>
          <cell r="H8" t="str">
            <v>SWA/
LS0H</v>
          </cell>
          <cell r="I8" t="str">
            <v>2/4 X1C
mm^2</v>
          </cell>
          <cell r="J8" t="str">
            <v>2/3/4C
mm^2</v>
          </cell>
          <cell r="K8" t="str">
            <v>1c
mm^2</v>
          </cell>
          <cell r="L8" t="str">
            <v>R-PH
KW</v>
          </cell>
          <cell r="M8" t="str">
            <v>Y-PH
KW</v>
          </cell>
          <cell r="N8" t="str">
            <v>B-PH
KW</v>
          </cell>
          <cell r="O8" t="str">
            <v>1 - PH
(1)</v>
          </cell>
          <cell r="P8" t="str">
            <v>3 - PH
(2)</v>
          </cell>
          <cell r="Q8" t="str">
            <v>3 - PH
(3)</v>
          </cell>
          <cell r="R8" t="str">
            <v>LV/H
CT (4)</v>
          </cell>
          <cell r="S8" t="str">
            <v>REMARKS</v>
          </cell>
        </row>
        <row r="9">
          <cell r="B9" t="str">
            <v>INCOMER (NON AUTO)</v>
          </cell>
          <cell r="C9" t="str">
            <v>TP</v>
          </cell>
          <cell r="E9">
            <v>80</v>
          </cell>
          <cell r="G9">
            <v>35</v>
          </cell>
          <cell r="H9" t="str">
            <v>XLPE/SWA/ LSOH</v>
          </cell>
          <cell r="J9" t="str">
            <v>4c 25</v>
          </cell>
          <cell r="K9" t="str">
            <v>1c 16</v>
          </cell>
          <cell r="L9">
            <v>10.3</v>
          </cell>
          <cell r="M9">
            <v>10.3</v>
          </cell>
          <cell r="N9">
            <v>10.8</v>
          </cell>
        </row>
        <row r="10">
          <cell r="B10" t="str">
            <v>OUTGOING</v>
          </cell>
        </row>
        <row r="11">
          <cell r="B11" t="str">
            <v>HW+PAU-H-5-1</v>
          </cell>
          <cell r="C11" t="str">
            <v>TP</v>
          </cell>
          <cell r="E11">
            <v>20</v>
          </cell>
          <cell r="G11">
            <v>22</v>
          </cell>
          <cell r="H11" t="str">
            <v>XLPE/SWA/ LSOH</v>
          </cell>
          <cell r="J11" t="str">
            <v>2 x 3c 4</v>
          </cell>
          <cell r="K11" t="str">
            <v>1c 4</v>
          </cell>
          <cell r="L11">
            <v>2.3666666666666667</v>
          </cell>
          <cell r="M11">
            <v>2.3666666666666667</v>
          </cell>
          <cell r="N11">
            <v>2.3666666666666667</v>
          </cell>
          <cell r="S11" t="str">
            <v>100mA ELCB + S/D STARTER</v>
          </cell>
        </row>
        <row r="12">
          <cell r="B12" t="str">
            <v>HW+PAU-H-5-2</v>
          </cell>
          <cell r="C12" t="str">
            <v>TP</v>
          </cell>
          <cell r="E12">
            <v>20</v>
          </cell>
          <cell r="G12">
            <v>22</v>
          </cell>
          <cell r="H12" t="str">
            <v>XLPE/SWA/ LSOH</v>
          </cell>
          <cell r="J12" t="str">
            <v>3c 4</v>
          </cell>
          <cell r="K12" t="str">
            <v>1c 4</v>
          </cell>
          <cell r="L12">
            <v>1.2333333333333334</v>
          </cell>
          <cell r="M12">
            <v>1.2333333333333334</v>
          </cell>
          <cell r="N12">
            <v>1.2333333333333334</v>
          </cell>
          <cell r="S12" t="str">
            <v>100mA ELCB + DOL STARTER</v>
          </cell>
        </row>
        <row r="13">
          <cell r="B13" t="str">
            <v>HW+PAU-H-5-3</v>
          </cell>
          <cell r="C13" t="str">
            <v>TP</v>
          </cell>
          <cell r="E13">
            <v>20</v>
          </cell>
          <cell r="G13">
            <v>22</v>
          </cell>
          <cell r="H13" t="str">
            <v>XLPE/SWA/ LSOH</v>
          </cell>
          <cell r="J13" t="str">
            <v>3c 4</v>
          </cell>
          <cell r="K13" t="str">
            <v>1c 4</v>
          </cell>
          <cell r="L13">
            <v>1.4833333333333334</v>
          </cell>
          <cell r="M13">
            <v>1.4833333333333334</v>
          </cell>
          <cell r="N13">
            <v>1.4833333333333334</v>
          </cell>
          <cell r="S13" t="str">
            <v>100mA ELCB + DOL STARTER</v>
          </cell>
        </row>
        <row r="14">
          <cell r="B14" t="str">
            <v>HW+PAU-H-5-4</v>
          </cell>
          <cell r="C14" t="str">
            <v>TP</v>
          </cell>
          <cell r="E14">
            <v>20</v>
          </cell>
          <cell r="G14">
            <v>22</v>
          </cell>
          <cell r="H14" t="str">
            <v>XLPE/SWA/ LSOH</v>
          </cell>
          <cell r="J14" t="str">
            <v>3c 4</v>
          </cell>
          <cell r="K14" t="str">
            <v>1c 4</v>
          </cell>
          <cell r="L14">
            <v>1.4833333333333334</v>
          </cell>
          <cell r="M14">
            <v>1.4833333333333334</v>
          </cell>
          <cell r="N14">
            <v>1.4833333333333334</v>
          </cell>
          <cell r="S14" t="str">
            <v>100mA ELCB + DOL STARTER</v>
          </cell>
        </row>
        <row r="15">
          <cell r="B15" t="str">
            <v>HW+PAU-H-4-1</v>
          </cell>
          <cell r="C15" t="str">
            <v>TP</v>
          </cell>
          <cell r="E15">
            <v>32</v>
          </cell>
          <cell r="G15">
            <v>22</v>
          </cell>
          <cell r="H15" t="str">
            <v>XLPE/SWA/ LSOH</v>
          </cell>
          <cell r="J15" t="str">
            <v>2 x 3c 6</v>
          </cell>
          <cell r="K15" t="str">
            <v>1c 6</v>
          </cell>
          <cell r="L15">
            <v>3.7333333333333329</v>
          </cell>
          <cell r="M15">
            <v>3.7333333333333329</v>
          </cell>
          <cell r="N15">
            <v>3.7333333333333329</v>
          </cell>
          <cell r="S15" t="str">
            <v>100mA ELCB + S/D STARTER</v>
          </cell>
        </row>
        <row r="16">
          <cell r="B16" t="str">
            <v>CONTROLS</v>
          </cell>
          <cell r="C16" t="str">
            <v>SP</v>
          </cell>
          <cell r="E16">
            <v>10</v>
          </cell>
          <cell r="G16">
            <v>22</v>
          </cell>
          <cell r="H16" t="str">
            <v>XLPE/SWA/ LSOH</v>
          </cell>
          <cell r="J16" t="str">
            <v>2c 1.5</v>
          </cell>
          <cell r="N16">
            <v>0.5</v>
          </cell>
        </row>
        <row r="25">
          <cell r="B25" t="str">
            <v>CONNECTED TO :</v>
          </cell>
          <cell r="C25" t="str">
            <v>MCP-H-5-1</v>
          </cell>
          <cell r="G25" t="str">
            <v>TOTAL CONNECTED LOAD PER PHASE</v>
          </cell>
          <cell r="L25">
            <v>10.3</v>
          </cell>
          <cell r="M25">
            <v>10.3</v>
          </cell>
          <cell r="N25">
            <v>10.8</v>
          </cell>
          <cell r="S25" t="str">
            <v>TOTAL</v>
          </cell>
        </row>
        <row r="26">
          <cell r="B26" t="str">
            <v xml:space="preserve">MAX. DEMAND (3 PH.):   </v>
          </cell>
          <cell r="C26">
            <v>28.26</v>
          </cell>
          <cell r="D26" t="str">
            <v>kW</v>
          </cell>
          <cell r="E26" t="str">
            <v xml:space="preserve">AT </v>
          </cell>
          <cell r="F26">
            <v>0.9</v>
          </cell>
          <cell r="G26" t="str">
            <v>DIVERSITY</v>
          </cell>
          <cell r="K26" t="str">
            <v xml:space="preserve">TOTAL CONNECTED LOAD(3 PH)   </v>
          </cell>
          <cell r="O26">
            <v>31.400000000000002</v>
          </cell>
          <cell r="P26" t="str">
            <v>kW</v>
          </cell>
        </row>
        <row r="28">
          <cell r="B28" t="str">
            <v>CONTRACTOR:</v>
          </cell>
          <cell r="L28" t="str">
            <v xml:space="preserve">TEL: </v>
          </cell>
          <cell r="P28" t="str">
            <v xml:space="preserve">FAX: </v>
          </cell>
        </row>
        <row r="30">
          <cell r="B30" t="str">
            <v>Type of Meter (Rating of Incomer):</v>
          </cell>
          <cell r="G30" t="str">
            <v>(1)  Upto 60A</v>
          </cell>
          <cell r="I30" t="str">
            <v>(2)  Upto 100 A</v>
          </cell>
          <cell r="L30" t="str">
            <v>(3)  125 - 160 A</v>
          </cell>
          <cell r="N30" t="str">
            <v>(4)  LV CT ..2500/5.......A</v>
          </cell>
          <cell r="R30" t="str">
            <v>HV  CT .........../..........A</v>
          </cell>
        </row>
        <row r="31">
          <cell r="G31" t="str">
            <v xml:space="preserve">       (1 Phase)</v>
          </cell>
          <cell r="I31" t="str">
            <v xml:space="preserve">       (3 Phase)</v>
          </cell>
          <cell r="L31" t="str">
            <v xml:space="preserve">       </v>
          </cell>
        </row>
      </sheetData>
      <sheetData sheetId="47" refreshError="1">
        <row r="2">
          <cell r="B2" t="str">
            <v>PROJECT: DUBAI MARINA MALL &amp; HOTEL APARTMENTS</v>
          </cell>
          <cell r="J2" t="str">
            <v>DETAILS OF CONNECTED LOAD/ MAX. DEMAND</v>
          </cell>
        </row>
        <row r="3">
          <cell r="J3" t="str">
            <v>OWNER:</v>
          </cell>
          <cell r="K3" t="str">
            <v>EMAAR PROPERTIES PSJC</v>
          </cell>
          <cell r="P3" t="str">
            <v>AREA:</v>
          </cell>
          <cell r="R3" t="str">
            <v>DUBAI,UNITED ARAB EMIRATES</v>
          </cell>
        </row>
        <row r="4">
          <cell r="F4" t="str">
            <v xml:space="preserve"> </v>
          </cell>
          <cell r="P4" t="str">
            <v xml:space="preserve"> LOCATION OF MCP: </v>
          </cell>
          <cell r="S4" t="str">
            <v>4TH FLOOR</v>
          </cell>
        </row>
        <row r="5">
          <cell r="B5" t="str">
            <v xml:space="preserve">MDB / SMDB </v>
          </cell>
          <cell r="C5" t="str">
            <v>LMCP-AHU-H-4-1</v>
          </cell>
          <cell r="J5" t="str">
            <v>CONSULTANT:MEINHARDT SINGAPORE PTE LTD.</v>
          </cell>
        </row>
        <row r="7">
          <cell r="B7" t="str">
            <v>CIRCUIT/</v>
          </cell>
          <cell r="C7" t="str">
            <v>SP/</v>
          </cell>
          <cell r="D7" t="str">
            <v>RATING - AMPS</v>
          </cell>
          <cell r="G7" t="str">
            <v>Isc FAULT</v>
          </cell>
          <cell r="H7" t="str">
            <v>FR or
XLPE</v>
          </cell>
          <cell r="I7" t="str">
            <v>CABLE SIZE</v>
          </cell>
          <cell r="K7" t="str">
            <v>CPC
SIZE-</v>
          </cell>
          <cell r="L7" t="str">
            <v>CONNECTED LOAD - KW</v>
          </cell>
          <cell r="O7" t="str">
            <v>PROPOSED TYPE &amp; NO. OF
KWH METERS</v>
          </cell>
        </row>
        <row r="8">
          <cell r="B8" t="str">
            <v>FEEDER
DB No.</v>
          </cell>
          <cell r="C8" t="str">
            <v>TP</v>
          </cell>
          <cell r="D8" t="str">
            <v>F/S
ISO</v>
          </cell>
          <cell r="E8" t="str">
            <v>MCCB</v>
          </cell>
          <cell r="F8" t="str">
            <v>MCB</v>
          </cell>
          <cell r="G8" t="str">
            <v>DUTY
KA</v>
          </cell>
          <cell r="H8" t="str">
            <v>SWA/
LS0H</v>
          </cell>
          <cell r="I8" t="str">
            <v>2/4 X1C
mm^2</v>
          </cell>
          <cell r="J8" t="str">
            <v>2/3/4C
mm^2</v>
          </cell>
          <cell r="K8" t="str">
            <v>1c
mm^2</v>
          </cell>
          <cell r="L8" t="str">
            <v>R-PH
KW</v>
          </cell>
          <cell r="M8" t="str">
            <v>Y-PH
KW</v>
          </cell>
          <cell r="N8" t="str">
            <v>B-PH
KW</v>
          </cell>
          <cell r="O8" t="str">
            <v>1 - PH
(1)</v>
          </cell>
          <cell r="P8" t="str">
            <v>3 - PH
(2)</v>
          </cell>
          <cell r="Q8" t="str">
            <v>3 - PH
(3)</v>
          </cell>
          <cell r="R8" t="str">
            <v>LV/H
CT (4)</v>
          </cell>
          <cell r="S8" t="str">
            <v>REMARKS</v>
          </cell>
        </row>
        <row r="9">
          <cell r="B9" t="str">
            <v>INCOMER (NON AUTO)</v>
          </cell>
          <cell r="C9" t="str">
            <v>TP</v>
          </cell>
          <cell r="E9">
            <v>80</v>
          </cell>
          <cell r="G9">
            <v>35</v>
          </cell>
          <cell r="H9" t="str">
            <v>XLPE/SWA/ LSOH</v>
          </cell>
          <cell r="J9" t="str">
            <v>4c 25</v>
          </cell>
          <cell r="K9" t="str">
            <v>1c 16</v>
          </cell>
          <cell r="L9">
            <v>6.833333333333333</v>
          </cell>
          <cell r="M9">
            <v>6.333333333333333</v>
          </cell>
          <cell r="N9">
            <v>6.333333333333333</v>
          </cell>
        </row>
        <row r="10">
          <cell r="B10" t="str">
            <v>OUTGOING</v>
          </cell>
        </row>
        <row r="11">
          <cell r="B11" t="str">
            <v>EF+HW+AHU-H-4-1</v>
          </cell>
          <cell r="C11" t="str">
            <v>TP</v>
          </cell>
          <cell r="E11">
            <v>63</v>
          </cell>
          <cell r="G11">
            <v>35</v>
          </cell>
          <cell r="H11" t="str">
            <v>XLPE/SWA/ LSOH</v>
          </cell>
          <cell r="J11" t="str">
            <v>2 x 3c 16</v>
          </cell>
          <cell r="K11" t="str">
            <v>1c 16</v>
          </cell>
          <cell r="L11">
            <v>6.333333333333333</v>
          </cell>
          <cell r="M11">
            <v>6.333333333333333</v>
          </cell>
          <cell r="N11">
            <v>6.333333333333333</v>
          </cell>
          <cell r="S11" t="str">
            <v>100mA ELCB + S/D STARTER</v>
          </cell>
        </row>
        <row r="12">
          <cell r="B12" t="str">
            <v>CONTROLS</v>
          </cell>
          <cell r="C12" t="str">
            <v>SP</v>
          </cell>
          <cell r="E12">
            <v>10</v>
          </cell>
          <cell r="G12">
            <v>22</v>
          </cell>
          <cell r="H12" t="str">
            <v>XLPE/SWA/ LSOH</v>
          </cell>
          <cell r="J12" t="str">
            <v>2c 1.5</v>
          </cell>
          <cell r="L12">
            <v>0.5</v>
          </cell>
        </row>
        <row r="25">
          <cell r="B25" t="str">
            <v>CONNECTED TO :</v>
          </cell>
          <cell r="C25" t="str">
            <v>MCP-H-5-1</v>
          </cell>
          <cell r="G25" t="str">
            <v>TOTAL CONNECTED LOAD PER PHASE</v>
          </cell>
          <cell r="L25">
            <v>6.833333333333333</v>
          </cell>
          <cell r="M25">
            <v>6.333333333333333</v>
          </cell>
          <cell r="N25">
            <v>6.333333333333333</v>
          </cell>
          <cell r="S25" t="str">
            <v>TOTAL</v>
          </cell>
        </row>
        <row r="26">
          <cell r="B26" t="str">
            <v xml:space="preserve">MAX. DEMAND (3 PH.):   </v>
          </cell>
          <cell r="C26">
            <v>19.5</v>
          </cell>
          <cell r="D26" t="str">
            <v>kW</v>
          </cell>
          <cell r="E26" t="str">
            <v xml:space="preserve">AT </v>
          </cell>
          <cell r="F26">
            <v>1</v>
          </cell>
          <cell r="G26" t="str">
            <v>DIVERSITY</v>
          </cell>
          <cell r="K26" t="str">
            <v xml:space="preserve">TOTAL CONNECTED LOAD(3 PH)   </v>
          </cell>
          <cell r="O26">
            <v>19.5</v>
          </cell>
          <cell r="P26" t="str">
            <v>kW</v>
          </cell>
        </row>
        <row r="28">
          <cell r="B28" t="str">
            <v>CONTRACTOR:</v>
          </cell>
          <cell r="L28" t="str">
            <v xml:space="preserve">TEL: </v>
          </cell>
          <cell r="P28" t="str">
            <v xml:space="preserve">FAX: </v>
          </cell>
        </row>
        <row r="30">
          <cell r="B30" t="str">
            <v>Type of Meter (Rating of Incomer):</v>
          </cell>
          <cell r="G30" t="str">
            <v>(1)  Upto 60A</v>
          </cell>
          <cell r="I30" t="str">
            <v>(2)  Upto 100 A</v>
          </cell>
          <cell r="L30" t="str">
            <v>(3)  125 - 160 A</v>
          </cell>
          <cell r="N30" t="str">
            <v>(4)  LV CT ..2500/5.......A</v>
          </cell>
          <cell r="R30" t="str">
            <v>HV  CT .........../..........A</v>
          </cell>
        </row>
        <row r="31">
          <cell r="G31" t="str">
            <v xml:space="preserve">       (1 Phase)</v>
          </cell>
          <cell r="I31" t="str">
            <v xml:space="preserve">       (3 Phase)</v>
          </cell>
          <cell r="L31" t="str">
            <v xml:space="preserve">       </v>
          </cell>
        </row>
      </sheetData>
      <sheetData sheetId="48" refreshError="1">
        <row r="2">
          <cell r="B2" t="str">
            <v>PROJECT: DUBAI MARINA MALL &amp; HOTEL/APARTMENTS</v>
          </cell>
          <cell r="J2" t="str">
            <v>DETAILS OF CONNECTED LOAD/ MAX. DEMAND</v>
          </cell>
        </row>
        <row r="3">
          <cell r="J3" t="str">
            <v>OWNER:</v>
          </cell>
          <cell r="K3" t="str">
            <v>EMAAR PROPERTIES PSJC</v>
          </cell>
          <cell r="P3" t="str">
            <v>AREA:</v>
          </cell>
          <cell r="R3" t="str">
            <v>DUBAI,UNITED ARAB EMIRATES</v>
          </cell>
        </row>
        <row r="4">
          <cell r="F4" t="str">
            <v xml:space="preserve"> </v>
          </cell>
          <cell r="P4" t="str">
            <v xml:space="preserve"> LOCATION OF MCP: </v>
          </cell>
          <cell r="S4" t="str">
            <v>5TH FLOOR</v>
          </cell>
        </row>
        <row r="5">
          <cell r="B5" t="str">
            <v xml:space="preserve">MDB / SMDB </v>
          </cell>
          <cell r="C5" t="str">
            <v>LMCP-KEF-H-LGM-1</v>
          </cell>
          <cell r="J5" t="str">
            <v>CONSULTANT:MEINHARDT SINGAPORE PTE LTD.</v>
          </cell>
        </row>
        <row r="7">
          <cell r="B7" t="str">
            <v>CIRCUIT/</v>
          </cell>
          <cell r="C7" t="str">
            <v>SP/</v>
          </cell>
          <cell r="D7" t="str">
            <v>RATING - AMPS</v>
          </cell>
          <cell r="G7" t="str">
            <v>Isc FAULT</v>
          </cell>
          <cell r="H7" t="str">
            <v>FR or
XLPE</v>
          </cell>
          <cell r="I7" t="str">
            <v>CABLE SIZE</v>
          </cell>
          <cell r="K7" t="str">
            <v>CPC
SIZE-</v>
          </cell>
          <cell r="L7" t="str">
            <v>CONNECTED LOAD - KW</v>
          </cell>
          <cell r="O7" t="str">
            <v>PROPOSED TYPE &amp; NO. OF
KWH METERS</v>
          </cell>
        </row>
        <row r="8">
          <cell r="B8" t="str">
            <v>FEEDER
DB No.</v>
          </cell>
          <cell r="C8" t="str">
            <v>TP</v>
          </cell>
          <cell r="D8" t="str">
            <v>F/S
ISO</v>
          </cell>
          <cell r="E8" t="str">
            <v>MCCB</v>
          </cell>
          <cell r="F8" t="str">
            <v>MCB</v>
          </cell>
          <cell r="G8" t="str">
            <v>DUTY
KA</v>
          </cell>
          <cell r="H8" t="str">
            <v>SWA/
LS0H</v>
          </cell>
          <cell r="I8" t="str">
            <v>2/4 X1C
mm^2</v>
          </cell>
          <cell r="J8" t="str">
            <v>2/3/4C
mm^2</v>
          </cell>
          <cell r="K8" t="str">
            <v>1c
mm^2</v>
          </cell>
          <cell r="L8" t="str">
            <v>R-PH
KW</v>
          </cell>
          <cell r="M8" t="str">
            <v>Y-PH
KW</v>
          </cell>
          <cell r="N8" t="str">
            <v>B-PH
KW</v>
          </cell>
          <cell r="O8" t="str">
            <v>1 - PH
(1)</v>
          </cell>
          <cell r="P8" t="str">
            <v>3 - PH
(2)</v>
          </cell>
          <cell r="Q8" t="str">
            <v>3 - PH
(3)</v>
          </cell>
          <cell r="R8" t="str">
            <v>LV/H
CT (4)</v>
          </cell>
          <cell r="S8" t="str">
            <v>REMARKS</v>
          </cell>
        </row>
        <row r="9">
          <cell r="B9" t="str">
            <v>INCOMER (NON AUTO)</v>
          </cell>
          <cell r="C9" t="str">
            <v>TP</v>
          </cell>
          <cell r="E9">
            <v>32</v>
          </cell>
          <cell r="G9">
            <v>22</v>
          </cell>
          <cell r="H9" t="str">
            <v>XLPE/SWA/ LSOH</v>
          </cell>
          <cell r="J9" t="str">
            <v>4c 6</v>
          </cell>
          <cell r="K9" t="str">
            <v>1c 6</v>
          </cell>
          <cell r="L9">
            <v>1.7333333333333334</v>
          </cell>
          <cell r="M9">
            <v>1.2333333333333334</v>
          </cell>
          <cell r="N9">
            <v>1.2333333333333334</v>
          </cell>
        </row>
        <row r="10">
          <cell r="B10" t="str">
            <v>OUTGOING</v>
          </cell>
        </row>
        <row r="11">
          <cell r="B11" t="str">
            <v>KEF-H-LGM-1</v>
          </cell>
          <cell r="C11" t="str">
            <v>TP</v>
          </cell>
          <cell r="E11">
            <v>20</v>
          </cell>
          <cell r="G11">
            <v>22</v>
          </cell>
          <cell r="H11" t="str">
            <v>XLPE/SWA/ LSOH</v>
          </cell>
          <cell r="J11" t="str">
            <v>3c 4</v>
          </cell>
          <cell r="K11" t="str">
            <v>1c 4</v>
          </cell>
          <cell r="L11">
            <v>1.2333333333333334</v>
          </cell>
          <cell r="M11">
            <v>1.2333333333333334</v>
          </cell>
          <cell r="N11">
            <v>1.2333333333333334</v>
          </cell>
          <cell r="S11" t="str">
            <v>100mA ELCB + DOL STARTER</v>
          </cell>
        </row>
        <row r="12">
          <cell r="B12" t="str">
            <v>CONTROLS</v>
          </cell>
          <cell r="C12" t="str">
            <v>SP</v>
          </cell>
          <cell r="E12">
            <v>10</v>
          </cell>
          <cell r="G12">
            <v>22</v>
          </cell>
          <cell r="H12" t="str">
            <v>XLPE/SWA/ LSOH</v>
          </cell>
          <cell r="J12" t="str">
            <v>2c 1.5</v>
          </cell>
          <cell r="L12">
            <v>0.5</v>
          </cell>
        </row>
        <row r="25">
          <cell r="B25" t="str">
            <v>CONNECTED TO :</v>
          </cell>
          <cell r="C25" t="str">
            <v>MCP-H-5-1</v>
          </cell>
          <cell r="G25" t="str">
            <v>TOTAL CONNECTED LOAD PER PHASE</v>
          </cell>
          <cell r="L25">
            <v>1.7333333333333334</v>
          </cell>
          <cell r="M25">
            <v>1.2333333333333334</v>
          </cell>
          <cell r="N25">
            <v>1.2333333333333334</v>
          </cell>
          <cell r="S25" t="str">
            <v>TOTAL</v>
          </cell>
        </row>
        <row r="26">
          <cell r="B26" t="str">
            <v xml:space="preserve">MAX. DEMAND (3 PH.):   </v>
          </cell>
          <cell r="C26">
            <v>4.2</v>
          </cell>
          <cell r="D26" t="str">
            <v>kW</v>
          </cell>
          <cell r="E26" t="str">
            <v xml:space="preserve">AT </v>
          </cell>
          <cell r="F26">
            <v>1</v>
          </cell>
          <cell r="G26" t="str">
            <v>DIVERSITY</v>
          </cell>
          <cell r="K26" t="str">
            <v xml:space="preserve">TOTAL CONNECTED LOAD(3 PH)   </v>
          </cell>
          <cell r="O26">
            <v>4.2</v>
          </cell>
          <cell r="P26" t="str">
            <v>kW</v>
          </cell>
        </row>
        <row r="28">
          <cell r="B28" t="str">
            <v>CONTRACTOR:</v>
          </cell>
          <cell r="L28" t="str">
            <v xml:space="preserve">TEL: </v>
          </cell>
          <cell r="P28" t="str">
            <v xml:space="preserve">FAX: </v>
          </cell>
        </row>
        <row r="30">
          <cell r="B30" t="str">
            <v>Type of Meter (Rating of Incomer):</v>
          </cell>
          <cell r="G30" t="str">
            <v>(1)  Upto 60A</v>
          </cell>
          <cell r="I30" t="str">
            <v>(2)  Upto 100 A</v>
          </cell>
          <cell r="L30" t="str">
            <v>(3)  125 - 160 A</v>
          </cell>
          <cell r="N30" t="str">
            <v>(4)  LV CT ..2500/5.......A</v>
          </cell>
          <cell r="R30" t="str">
            <v>HV  CT .........../..........A</v>
          </cell>
        </row>
        <row r="31">
          <cell r="G31" t="str">
            <v xml:space="preserve">       (1 Phase)</v>
          </cell>
          <cell r="I31" t="str">
            <v xml:space="preserve">       (3 Phase)</v>
          </cell>
          <cell r="L31" t="str">
            <v xml:space="preserve">       </v>
          </cell>
        </row>
      </sheetData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>
        <row r="1">
          <cell r="A1" t="str">
            <v>PROJECT: DUBAI MARINA MALL &amp; HOTEL/APARTMENT</v>
          </cell>
          <cell r="I1" t="str">
            <v>DETAILS OF CONNECTED LOAD/ MAX. DEMAND</v>
          </cell>
        </row>
        <row r="2">
          <cell r="I2" t="str">
            <v>OWNER:</v>
          </cell>
          <cell r="J2" t="str">
            <v>EMAAR PROPERTIES PSJC</v>
          </cell>
          <cell r="O2" t="str">
            <v>AREA:</v>
          </cell>
          <cell r="Q2" t="str">
            <v>DUBAI,UNITED ARAB EMIRATES</v>
          </cell>
        </row>
        <row r="3">
          <cell r="E3" t="str">
            <v xml:space="preserve"> </v>
          </cell>
          <cell r="O3" t="str">
            <v xml:space="preserve"> LOCATION OF MCP: </v>
          </cell>
          <cell r="R3" t="str">
            <v>LOWER GROUND FLOOR</v>
          </cell>
        </row>
        <row r="4">
          <cell r="A4" t="str">
            <v xml:space="preserve">MDB / SMDB </v>
          </cell>
          <cell r="B4" t="str">
            <v>SB-HC-LG-1</v>
          </cell>
          <cell r="I4" t="str">
            <v>CONSULTANT:MEINHARDT SINGAPORE PTE LTD.</v>
          </cell>
        </row>
        <row r="6">
          <cell r="A6" t="str">
            <v>CIRCUIT/</v>
          </cell>
          <cell r="B6" t="str">
            <v>SP/</v>
          </cell>
          <cell r="C6" t="str">
            <v>RATING - AMPS</v>
          </cell>
          <cell r="F6" t="str">
            <v>Isc FAULT</v>
          </cell>
          <cell r="G6" t="str">
            <v>FR or
XLPE</v>
          </cell>
          <cell r="H6" t="str">
            <v>CABLE SIZE</v>
          </cell>
          <cell r="J6" t="str">
            <v>ECC
SIZE-</v>
          </cell>
          <cell r="K6" t="str">
            <v>CONNECTED LOAD - KW</v>
          </cell>
          <cell r="N6" t="str">
            <v>PROPOSED TYPE &amp; NO. OF
KWH METERS</v>
          </cell>
        </row>
        <row r="7">
          <cell r="A7" t="str">
            <v>FEEDER
DB No.</v>
          </cell>
          <cell r="B7" t="str">
            <v>TP</v>
          </cell>
          <cell r="C7" t="str">
            <v>F/S
ISO</v>
          </cell>
          <cell r="D7" t="str">
            <v>MCCB</v>
          </cell>
          <cell r="E7" t="str">
            <v>MCB</v>
          </cell>
          <cell r="F7" t="str">
            <v>DUTY
KA</v>
          </cell>
          <cell r="G7" t="str">
            <v>SWA/
LS0H</v>
          </cell>
          <cell r="H7" t="str">
            <v>2/4 X1C
mm^2</v>
          </cell>
          <cell r="I7" t="str">
            <v>2/3/4C
mm^2</v>
          </cell>
          <cell r="J7" t="str">
            <v>1c
mm^2</v>
          </cell>
          <cell r="K7" t="str">
            <v>R-PH
KW</v>
          </cell>
          <cell r="L7" t="str">
            <v>Y-PH
KW</v>
          </cell>
          <cell r="M7" t="str">
            <v>B-PH
KW</v>
          </cell>
          <cell r="N7" t="str">
            <v>1 - PH
(1)</v>
          </cell>
          <cell r="O7" t="str">
            <v>3 - PH
(2)</v>
          </cell>
          <cell r="P7" t="str">
            <v>3 - PH
(3)</v>
          </cell>
          <cell r="Q7" t="str">
            <v>LV/H
CT (4)</v>
          </cell>
          <cell r="R7" t="str">
            <v>REMARKS</v>
          </cell>
        </row>
        <row r="8">
          <cell r="A8" t="str">
            <v>INCOMER (NON AUTO)</v>
          </cell>
          <cell r="B8" t="str">
            <v>TP</v>
          </cell>
          <cell r="D8">
            <v>250</v>
          </cell>
          <cell r="F8">
            <v>22</v>
          </cell>
          <cell r="G8" t="str">
            <v>XLPE/SWA/ LSOH</v>
          </cell>
          <cell r="I8" t="str">
            <v>4c 150</v>
          </cell>
          <cell r="J8" t="str">
            <v>1c 70</v>
          </cell>
          <cell r="K8">
            <v>32.666666666666671</v>
          </cell>
          <cell r="L8">
            <v>32.666666666666671</v>
          </cell>
          <cell r="M8">
            <v>32.666666666666671</v>
          </cell>
        </row>
        <row r="9">
          <cell r="A9" t="str">
            <v>OUTGOING</v>
          </cell>
        </row>
        <row r="10">
          <cell r="A10" t="str">
            <v>DOCK LEVELLER</v>
          </cell>
          <cell r="B10" t="str">
            <v>TP</v>
          </cell>
          <cell r="D10">
            <v>32</v>
          </cell>
          <cell r="F10">
            <v>22</v>
          </cell>
          <cell r="G10" t="str">
            <v>XLPE/SWA/ LSOH</v>
          </cell>
          <cell r="I10" t="str">
            <v>4c 6</v>
          </cell>
          <cell r="J10" t="str">
            <v>1c 6</v>
          </cell>
          <cell r="K10">
            <v>4.666666666666667</v>
          </cell>
          <cell r="L10">
            <v>4.666666666666667</v>
          </cell>
          <cell r="M10">
            <v>4.666666666666667</v>
          </cell>
        </row>
        <row r="11">
          <cell r="A11" t="str">
            <v>DOCK LEVELLER</v>
          </cell>
          <cell r="B11" t="str">
            <v>TP</v>
          </cell>
          <cell r="D11">
            <v>32</v>
          </cell>
          <cell r="F11">
            <v>22</v>
          </cell>
          <cell r="G11" t="str">
            <v>XLPE/SWA/ LSOH</v>
          </cell>
          <cell r="I11" t="str">
            <v>4c 6</v>
          </cell>
          <cell r="J11" t="str">
            <v>1c 6</v>
          </cell>
          <cell r="K11">
            <v>4.666666666666667</v>
          </cell>
          <cell r="L11">
            <v>4.666666666666667</v>
          </cell>
          <cell r="M11">
            <v>4.666666666666667</v>
          </cell>
        </row>
        <row r="12">
          <cell r="A12" t="str">
            <v>DOCK LEVELLER</v>
          </cell>
          <cell r="B12" t="str">
            <v>TP</v>
          </cell>
          <cell r="D12">
            <v>32</v>
          </cell>
          <cell r="F12">
            <v>22</v>
          </cell>
          <cell r="G12" t="str">
            <v>XLPE/SWA/ LSOH</v>
          </cell>
          <cell r="I12" t="str">
            <v>4c 6</v>
          </cell>
          <cell r="J12" t="str">
            <v>1c 6</v>
          </cell>
          <cell r="K12">
            <v>4.666666666666667</v>
          </cell>
          <cell r="L12">
            <v>4.666666666666667</v>
          </cell>
          <cell r="M12">
            <v>4.666666666666667</v>
          </cell>
        </row>
        <row r="13">
          <cell r="A13" t="str">
            <v>DOCK LEVELLER</v>
          </cell>
          <cell r="B13" t="str">
            <v>TP</v>
          </cell>
          <cell r="D13">
            <v>32</v>
          </cell>
          <cell r="F13">
            <v>22</v>
          </cell>
          <cell r="G13" t="str">
            <v>XLPE/SWA/ LSOH</v>
          </cell>
          <cell r="I13" t="str">
            <v>4c 6</v>
          </cell>
          <cell r="J13" t="str">
            <v>1c 6</v>
          </cell>
          <cell r="K13">
            <v>4.666666666666667</v>
          </cell>
          <cell r="L13">
            <v>4.666666666666667</v>
          </cell>
          <cell r="M13">
            <v>4.666666666666667</v>
          </cell>
        </row>
        <row r="14">
          <cell r="A14" t="str">
            <v>DOCK LEVELLER</v>
          </cell>
          <cell r="B14" t="str">
            <v>TP</v>
          </cell>
          <cell r="D14">
            <v>32</v>
          </cell>
          <cell r="F14">
            <v>22</v>
          </cell>
          <cell r="G14" t="str">
            <v>XLPE/SWA/ LSOH</v>
          </cell>
          <cell r="I14" t="str">
            <v>4c 6</v>
          </cell>
          <cell r="J14" t="str">
            <v>1c 6</v>
          </cell>
          <cell r="K14">
            <v>4.666666666666667</v>
          </cell>
          <cell r="L14">
            <v>4.666666666666667</v>
          </cell>
          <cell r="M14">
            <v>4.666666666666667</v>
          </cell>
        </row>
        <row r="15">
          <cell r="A15" t="str">
            <v>R. COMPACTOR</v>
          </cell>
          <cell r="B15" t="str">
            <v>TP</v>
          </cell>
          <cell r="D15">
            <v>63</v>
          </cell>
          <cell r="F15">
            <v>22</v>
          </cell>
          <cell r="G15" t="str">
            <v>XLPE/SWA/ LSOH</v>
          </cell>
          <cell r="I15" t="str">
            <v>4c 16</v>
          </cell>
          <cell r="J15" t="str">
            <v>1c 16</v>
          </cell>
          <cell r="K15">
            <v>9.3333333333333339</v>
          </cell>
          <cell r="L15">
            <v>9.3333333333333339</v>
          </cell>
          <cell r="M15">
            <v>9.3333333333333339</v>
          </cell>
        </row>
        <row r="23">
          <cell r="A23" t="str">
            <v xml:space="preserve"> </v>
          </cell>
        </row>
        <row r="24">
          <cell r="A24" t="str">
            <v xml:space="preserve">CONNECTED TO : </v>
          </cell>
          <cell r="B24" t="str">
            <v>MSB-M-10</v>
          </cell>
          <cell r="F24" t="str">
            <v>TOTAL CONNECTED LOAD PER PHASE</v>
          </cell>
          <cell r="K24">
            <v>32.666666666666671</v>
          </cell>
          <cell r="L24">
            <v>32.666666666666671</v>
          </cell>
          <cell r="M24">
            <v>32.666666666666671</v>
          </cell>
          <cell r="R24" t="str">
            <v>TOTAL</v>
          </cell>
        </row>
        <row r="27">
          <cell r="A27" t="str">
            <v xml:space="preserve">MAX. DEMAND (3 PH.):   </v>
          </cell>
          <cell r="B27">
            <v>88.200000000000017</v>
          </cell>
          <cell r="C27" t="str">
            <v>kW</v>
          </cell>
          <cell r="D27" t="str">
            <v xml:space="preserve">AT </v>
          </cell>
          <cell r="E27">
            <v>0.9</v>
          </cell>
          <cell r="F27" t="str">
            <v>DIVERSITY</v>
          </cell>
          <cell r="J27" t="str">
            <v xml:space="preserve">TOTAL CONNECTED LOAD(3 PH)   </v>
          </cell>
          <cell r="N27">
            <v>98.000000000000014</v>
          </cell>
          <cell r="O27" t="str">
            <v>kW</v>
          </cell>
        </row>
        <row r="30">
          <cell r="A30" t="str">
            <v>CONTRACTOR:</v>
          </cell>
          <cell r="K30" t="str">
            <v xml:space="preserve">TEL: </v>
          </cell>
          <cell r="O30" t="str">
            <v xml:space="preserve">FAX: </v>
          </cell>
        </row>
        <row r="32">
          <cell r="A32" t="str">
            <v>Type of Meter (Rating of Incomer):</v>
          </cell>
          <cell r="F32" t="str">
            <v>(1)  Upto 60A</v>
          </cell>
          <cell r="H32" t="str">
            <v>(2)  Upto 100 A</v>
          </cell>
          <cell r="K32" t="str">
            <v>(3)  125 - 160 A</v>
          </cell>
          <cell r="M32" t="str">
            <v>(4)  LV CT ..2500/5.......A</v>
          </cell>
          <cell r="Q32" t="str">
            <v>HV  CT .........../..........A</v>
          </cell>
        </row>
        <row r="33">
          <cell r="F33" t="str">
            <v xml:space="preserve">       (1 Phase)</v>
          </cell>
          <cell r="H33" t="str">
            <v xml:space="preserve">       (3 Phase)</v>
          </cell>
          <cell r="K33" t="str">
            <v xml:space="preserve">       </v>
          </cell>
        </row>
      </sheetData>
      <sheetData sheetId="5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SB_H_COVER"/>
      <sheetName val="LVSB_H_4"/>
      <sheetName val="MSB_H_4"/>
      <sheetName val="SB_H_G_2"/>
      <sheetName val="LMCP_AHU_H_G_1"/>
      <sheetName val="LMCP_AHU_H_G_2"/>
      <sheetName val="LMCP_AHU_H_2_2"/>
      <sheetName val="LMCP_AHU_H_2_5"/>
      <sheetName val="LMCP_AHU_H_3_1"/>
      <sheetName val="LMCP_AHU_H_3_2"/>
      <sheetName val="MCP_H_1_1"/>
      <sheetName val="LMCP_AHU_H_1_1"/>
      <sheetName val="LMCP_AHU_H_1_2"/>
      <sheetName val="LMCP_AHU_H_1_3"/>
      <sheetName val="LMCP_PAU_H_1_2"/>
      <sheetName val="MCP_H_LG_1"/>
      <sheetName val="LMCP_AHU_H_LG_1"/>
      <sheetName val="LMCP_AHU_H_LG_2"/>
      <sheetName val="LMCP_AHU_H_LG_3"/>
      <sheetName val="LMCP_PAU_H_LGM_1"/>
      <sheetName val="SB_H_LG_1"/>
      <sheetName val="LSB_H_14M_1"/>
      <sheetName val="SBE_H_B2_1"/>
      <sheetName val="LMCP_TEP_HA_B2_1 _ 1a"/>
      <sheetName val="LMCP_TEP_HA_B2_2 _ 2a"/>
      <sheetName val="LMCP_KEP_HA_B2_1 _ 1a"/>
      <sheetName val="LMCP_TP_HA_B2_1 _ 1a"/>
      <sheetName val="LMCP_TP_HA_B2_2 _ 2a"/>
      <sheetName val="LMCP_HRP_H_B2_2 _ 2a"/>
      <sheetName val="LMCP_HRP_H_B2_3 _ 3a"/>
      <sheetName val="LMCP_HRP_H_B2_4 _ 4a"/>
      <sheetName val="LMCP_FWP_H_B2_1 _ 1a"/>
      <sheetName val="LMCP_FWP_H_B2_2 _ 2a"/>
      <sheetName val="LMCP_FOTP_H_LG_1"/>
      <sheetName val="LMCP_FOTP_H_LG_2"/>
      <sheetName val="LMCP_TEP_TL_LG_1 _ 1a"/>
      <sheetName val="MCPE_H_G_1"/>
      <sheetName val="LMCP_SPF_H_G_1"/>
      <sheetName val="LMCP_SPF_H_G_2"/>
      <sheetName val="LMCP_SPF_H_G_3"/>
      <sheetName val="LMCP_SVF_H_G_1"/>
      <sheetName val="LMCP_SVF_H_G_4"/>
      <sheetName val="LMCP_SEF_H_5_1"/>
      <sheetName val="LMCP_SEF_H_3_1"/>
      <sheetName val="LMCP_SEF_H_3_2"/>
      <sheetName val="MCP_H_5_1"/>
      <sheetName val="LMCP_PAU_H_5_1"/>
      <sheetName val="LMCP_AHU_H_4_1"/>
      <sheetName val="LMCP_KEF_H_LGM_1"/>
      <sheetName val="SB_H_G_1"/>
      <sheetName val="DB_H_G_1_1_"/>
      <sheetName val="DB_H_G_1_2_ "/>
      <sheetName val="DB_H_1_1"/>
      <sheetName val="DB_H_1_2_1_"/>
      <sheetName val="DB_H_1_2_2_"/>
      <sheetName val="DB_H_1_3"/>
      <sheetName val="DB_H_3_B_1_1_"/>
      <sheetName val="DB_H_3_B_1_2_"/>
      <sheetName val="SB_HC_LG_1"/>
      <sheetName val="MB_H_1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>
        <row r="2">
          <cell r="B2" t="str">
            <v>PROJECT: DUBAI MARINA MALL &amp; HOTEL/APARTMENT</v>
          </cell>
          <cell r="J2" t="str">
            <v>DETAILS OF CONNECTED LOAD/ MAX. DEMAND</v>
          </cell>
        </row>
        <row r="3">
          <cell r="J3" t="str">
            <v>OWNER:</v>
          </cell>
          <cell r="K3" t="str">
            <v>EMAAR PROPERTIES PSJC</v>
          </cell>
          <cell r="P3" t="str">
            <v>AREA:</v>
          </cell>
          <cell r="R3" t="str">
            <v>DUBAI,UNITED ARAB EMIRATES</v>
          </cell>
        </row>
        <row r="4">
          <cell r="F4" t="str">
            <v xml:space="preserve"> </v>
          </cell>
          <cell r="P4" t="str">
            <v xml:space="preserve"> LOCATION OF MCP: </v>
          </cell>
          <cell r="S4" t="str">
            <v>5TH FLOOR</v>
          </cell>
        </row>
        <row r="5">
          <cell r="B5" t="str">
            <v xml:space="preserve">MDB / SMDB </v>
          </cell>
          <cell r="C5" t="str">
            <v>MCP-H-5-1</v>
          </cell>
          <cell r="J5" t="str">
            <v>CONSULTANT:MEINHARDT SINGAPORE PTE LTD.</v>
          </cell>
        </row>
        <row r="7">
          <cell r="B7" t="str">
            <v>CIRCUIT/</v>
          </cell>
          <cell r="C7" t="str">
            <v>SP/</v>
          </cell>
          <cell r="D7" t="str">
            <v>RATING - AMPS</v>
          </cell>
          <cell r="G7" t="str">
            <v>Isc FAULT</v>
          </cell>
          <cell r="H7" t="str">
            <v>FR or
XLPE</v>
          </cell>
          <cell r="I7" t="str">
            <v>CABLE SIZE</v>
          </cell>
          <cell r="K7" t="str">
            <v>CPC
SIZE-</v>
          </cell>
          <cell r="L7" t="str">
            <v>CONNECTED LOAD - KW</v>
          </cell>
          <cell r="O7" t="str">
            <v>PROPOSED TYPE &amp; NO. OF
KWH METERS</v>
          </cell>
        </row>
        <row r="8">
          <cell r="B8" t="str">
            <v>FEEDER
DB No.</v>
          </cell>
          <cell r="C8" t="str">
            <v>TP</v>
          </cell>
          <cell r="D8" t="str">
            <v>F/S
ISO</v>
          </cell>
          <cell r="E8" t="str">
            <v>MCCB</v>
          </cell>
          <cell r="F8" t="str">
            <v>MCB</v>
          </cell>
          <cell r="G8" t="str">
            <v>DUTY
KA</v>
          </cell>
          <cell r="H8" t="str">
            <v>SWA/
LS0H</v>
          </cell>
          <cell r="I8" t="str">
            <v>2/4 X1C
mm^2</v>
          </cell>
          <cell r="J8" t="str">
            <v>2/3/4C
mm^2</v>
          </cell>
          <cell r="K8" t="str">
            <v>1c
mm^2</v>
          </cell>
          <cell r="L8" t="str">
            <v>R-PH
KW</v>
          </cell>
          <cell r="M8" t="str">
            <v>Y-PH
KW</v>
          </cell>
          <cell r="N8" t="str">
            <v>B-PH
KW</v>
          </cell>
          <cell r="O8" t="str">
            <v>1 - PH
(1)</v>
          </cell>
          <cell r="P8" t="str">
            <v>3 - PH
(2)</v>
          </cell>
          <cell r="Q8" t="str">
            <v>3 - PH
(3)</v>
          </cell>
          <cell r="R8" t="str">
            <v>LV/H
CT (4)</v>
          </cell>
          <cell r="S8" t="str">
            <v>REMARKS</v>
          </cell>
        </row>
        <row r="9">
          <cell r="B9" t="str">
            <v>INCOMER (NON AUTO)</v>
          </cell>
          <cell r="C9" t="str">
            <v>TP</v>
          </cell>
          <cell r="E9">
            <v>125</v>
          </cell>
          <cell r="G9">
            <v>50</v>
          </cell>
          <cell r="H9" t="str">
            <v>XLPE/SWA/ LSOH</v>
          </cell>
          <cell r="J9" t="str">
            <v>4c 50</v>
          </cell>
          <cell r="K9" t="str">
            <v>1c 25</v>
          </cell>
          <cell r="L9">
            <v>18.866666666666667</v>
          </cell>
          <cell r="M9">
            <v>17.866666666666667</v>
          </cell>
          <cell r="N9">
            <v>18.366666666666667</v>
          </cell>
        </row>
        <row r="10">
          <cell r="B10" t="str">
            <v>OUTGOING</v>
          </cell>
        </row>
        <row r="11">
          <cell r="B11" t="str">
            <v>I-LMCP-PAU-H-5-1</v>
          </cell>
          <cell r="C11" t="str">
            <v>TP</v>
          </cell>
          <cell r="E11">
            <v>80</v>
          </cell>
          <cell r="G11">
            <v>35</v>
          </cell>
          <cell r="H11" t="str">
            <v>XLPE/SWA/ LSOH</v>
          </cell>
          <cell r="J11" t="str">
            <v>4c 25</v>
          </cell>
          <cell r="K11" t="str">
            <v>1c 16</v>
          </cell>
          <cell r="L11">
            <v>10.3</v>
          </cell>
          <cell r="M11">
            <v>10.3</v>
          </cell>
          <cell r="N11">
            <v>10.8</v>
          </cell>
        </row>
        <row r="12">
          <cell r="B12" t="str">
            <v>I-LMCP-AHU-H-4-1</v>
          </cell>
          <cell r="C12" t="str">
            <v>TP</v>
          </cell>
          <cell r="E12">
            <v>80</v>
          </cell>
          <cell r="G12">
            <v>35</v>
          </cell>
          <cell r="H12" t="str">
            <v>XLPE/SWA/ LSOH</v>
          </cell>
          <cell r="J12" t="str">
            <v>4c 25</v>
          </cell>
          <cell r="K12" t="str">
            <v>1c 16</v>
          </cell>
          <cell r="L12">
            <v>6.833333333333333</v>
          </cell>
          <cell r="M12">
            <v>6.333333333333333</v>
          </cell>
          <cell r="N12">
            <v>6.333333333333333</v>
          </cell>
        </row>
        <row r="13">
          <cell r="B13" t="str">
            <v>I-LMCP-KEF-H-LGM-1</v>
          </cell>
          <cell r="C13" t="str">
            <v>TP</v>
          </cell>
          <cell r="E13">
            <v>32</v>
          </cell>
          <cell r="G13">
            <v>22</v>
          </cell>
          <cell r="H13" t="str">
            <v>XLPE/SWA/ LSOH</v>
          </cell>
          <cell r="J13" t="str">
            <v>4c 6</v>
          </cell>
          <cell r="K13" t="str">
            <v>1c 6</v>
          </cell>
          <cell r="L13">
            <v>1.7333333333333334</v>
          </cell>
          <cell r="M13">
            <v>1.2333333333333334</v>
          </cell>
          <cell r="N13">
            <v>1.2333333333333334</v>
          </cell>
        </row>
        <row r="25">
          <cell r="B25" t="str">
            <v>CONNECTED TO :</v>
          </cell>
          <cell r="C25" t="str">
            <v>MSB-H-4</v>
          </cell>
          <cell r="G25" t="str">
            <v>TOTAL CONNECTED LOAD PER PHASE</v>
          </cell>
          <cell r="L25">
            <v>18.866666666666667</v>
          </cell>
          <cell r="M25">
            <v>17.866666666666667</v>
          </cell>
          <cell r="N25">
            <v>18.366666666666667</v>
          </cell>
          <cell r="S25" t="str">
            <v>TOTAL</v>
          </cell>
        </row>
        <row r="26">
          <cell r="B26" t="str">
            <v xml:space="preserve">MAX. DEMAND (3 PH.):   </v>
          </cell>
          <cell r="C26">
            <v>49.59</v>
          </cell>
          <cell r="D26" t="str">
            <v>kW</v>
          </cell>
          <cell r="E26" t="str">
            <v xml:space="preserve">AT </v>
          </cell>
          <cell r="F26">
            <v>0.9</v>
          </cell>
          <cell r="G26" t="str">
            <v>DIVERSITY</v>
          </cell>
          <cell r="K26" t="str">
            <v xml:space="preserve">TOTAL CONNECTED LOAD(3 PH)   </v>
          </cell>
          <cell r="O26">
            <v>55.1</v>
          </cell>
          <cell r="P26" t="str">
            <v>kW</v>
          </cell>
        </row>
        <row r="28">
          <cell r="B28" t="str">
            <v>CONTRACTOR:</v>
          </cell>
          <cell r="L28" t="str">
            <v xml:space="preserve">TEL: </v>
          </cell>
          <cell r="P28" t="str">
            <v xml:space="preserve">FAX: </v>
          </cell>
        </row>
        <row r="30">
          <cell r="B30" t="str">
            <v>Type of Meter (Rating of Incomer):</v>
          </cell>
          <cell r="G30" t="str">
            <v>(1)  Upto 60A</v>
          </cell>
          <cell r="I30" t="str">
            <v>(2)  Upto 100 A</v>
          </cell>
          <cell r="L30" t="str">
            <v>(3)  125 - 160 A</v>
          </cell>
          <cell r="N30" t="str">
            <v>(4)  LV CT ..2500/5.......A</v>
          </cell>
          <cell r="R30" t="str">
            <v>HV  CT .........../..........A</v>
          </cell>
        </row>
        <row r="31">
          <cell r="G31" t="str">
            <v xml:space="preserve">       (1 Phase)</v>
          </cell>
          <cell r="I31" t="str">
            <v xml:space="preserve">       (3 Phase)</v>
          </cell>
          <cell r="L31" t="str">
            <v xml:space="preserve">       </v>
          </cell>
        </row>
      </sheetData>
      <sheetData sheetId="46" refreshError="1">
        <row r="2">
          <cell r="B2" t="str">
            <v>PROJECT: DUBAI MARINA MALL &amp; HOTEL/APARTMENTS</v>
          </cell>
          <cell r="J2" t="str">
            <v>DETAILS OF CONNECTED LOAD/ MAX. DEMAND</v>
          </cell>
        </row>
        <row r="3">
          <cell r="J3" t="str">
            <v>OWNER:</v>
          </cell>
          <cell r="K3" t="str">
            <v>EMAAR PROPERTIES PSJC</v>
          </cell>
          <cell r="P3" t="str">
            <v>AREA:</v>
          </cell>
          <cell r="R3" t="str">
            <v>DUBAI,UNITED ARAB EMIRATES</v>
          </cell>
        </row>
        <row r="4">
          <cell r="F4" t="str">
            <v xml:space="preserve"> </v>
          </cell>
          <cell r="P4" t="str">
            <v xml:space="preserve"> LOCATION OF MCP: </v>
          </cell>
          <cell r="S4" t="str">
            <v>5TH FLOOR</v>
          </cell>
        </row>
        <row r="5">
          <cell r="B5" t="str">
            <v xml:space="preserve">MDB / SMDB </v>
          </cell>
          <cell r="C5" t="str">
            <v>LMCP-PAU-H-5-1</v>
          </cell>
          <cell r="J5" t="str">
            <v>CONSULTANT:MEINHARDT SINGAPORE PTE LTD.</v>
          </cell>
        </row>
        <row r="7">
          <cell r="B7" t="str">
            <v>CIRCUIT/</v>
          </cell>
          <cell r="C7" t="str">
            <v>SP/</v>
          </cell>
          <cell r="D7" t="str">
            <v>RATING - AMPS</v>
          </cell>
          <cell r="G7" t="str">
            <v>Isc FAULT</v>
          </cell>
          <cell r="H7" t="str">
            <v>FR or
XLPE</v>
          </cell>
          <cell r="I7" t="str">
            <v>CABLE SIZE</v>
          </cell>
          <cell r="K7" t="str">
            <v>CPC
SIZE-</v>
          </cell>
          <cell r="L7" t="str">
            <v>CONNECTED LOAD - KW</v>
          </cell>
          <cell r="O7" t="str">
            <v>PROPOSED TYPE &amp; NO. OF
KWH METERS</v>
          </cell>
        </row>
        <row r="8">
          <cell r="B8" t="str">
            <v>FEEDER
DB No.</v>
          </cell>
          <cell r="C8" t="str">
            <v>TP</v>
          </cell>
          <cell r="D8" t="str">
            <v>F/S
ISO</v>
          </cell>
          <cell r="E8" t="str">
            <v>MCCB</v>
          </cell>
          <cell r="F8" t="str">
            <v>MCB</v>
          </cell>
          <cell r="G8" t="str">
            <v>DUTY
KA</v>
          </cell>
          <cell r="H8" t="str">
            <v>SWA/
LS0H</v>
          </cell>
          <cell r="I8" t="str">
            <v>2/4 X1C
mm^2</v>
          </cell>
          <cell r="J8" t="str">
            <v>2/3/4C
mm^2</v>
          </cell>
          <cell r="K8" t="str">
            <v>1c
mm^2</v>
          </cell>
          <cell r="L8" t="str">
            <v>R-PH
KW</v>
          </cell>
          <cell r="M8" t="str">
            <v>Y-PH
KW</v>
          </cell>
          <cell r="N8" t="str">
            <v>B-PH
KW</v>
          </cell>
          <cell r="O8" t="str">
            <v>1 - PH
(1)</v>
          </cell>
          <cell r="P8" t="str">
            <v>3 - PH
(2)</v>
          </cell>
          <cell r="Q8" t="str">
            <v>3 - PH
(3)</v>
          </cell>
          <cell r="R8" t="str">
            <v>LV/H
CT (4)</v>
          </cell>
          <cell r="S8" t="str">
            <v>REMARKS</v>
          </cell>
        </row>
        <row r="9">
          <cell r="B9" t="str">
            <v>INCOMER (NON AUTO)</v>
          </cell>
          <cell r="C9" t="str">
            <v>TP</v>
          </cell>
          <cell r="E9">
            <v>80</v>
          </cell>
          <cell r="G9">
            <v>35</v>
          </cell>
          <cell r="H9" t="str">
            <v>XLPE/SWA/ LSOH</v>
          </cell>
          <cell r="J9" t="str">
            <v>4c 25</v>
          </cell>
          <cell r="K9" t="str">
            <v>1c 16</v>
          </cell>
          <cell r="L9">
            <v>10.3</v>
          </cell>
          <cell r="M9">
            <v>10.3</v>
          </cell>
          <cell r="N9">
            <v>10.8</v>
          </cell>
        </row>
        <row r="10">
          <cell r="B10" t="str">
            <v>OUTGOING</v>
          </cell>
        </row>
        <row r="11">
          <cell r="B11" t="str">
            <v>HW+PAU-H-5-1</v>
          </cell>
          <cell r="C11" t="str">
            <v>TP</v>
          </cell>
          <cell r="E11">
            <v>20</v>
          </cell>
          <cell r="G11">
            <v>22</v>
          </cell>
          <cell r="H11" t="str">
            <v>XLPE/SWA/ LSOH</v>
          </cell>
          <cell r="J11" t="str">
            <v>2 x 3c 4</v>
          </cell>
          <cell r="K11" t="str">
            <v>1c 4</v>
          </cell>
          <cell r="L11">
            <v>2.3666666666666667</v>
          </cell>
          <cell r="M11">
            <v>2.3666666666666667</v>
          </cell>
          <cell r="N11">
            <v>2.3666666666666667</v>
          </cell>
          <cell r="S11" t="str">
            <v>100mA ELCB + S/D STARTER</v>
          </cell>
        </row>
        <row r="12">
          <cell r="B12" t="str">
            <v>HW+PAU-H-5-2</v>
          </cell>
          <cell r="C12" t="str">
            <v>TP</v>
          </cell>
          <cell r="E12">
            <v>20</v>
          </cell>
          <cell r="G12">
            <v>22</v>
          </cell>
          <cell r="H12" t="str">
            <v>XLPE/SWA/ LSOH</v>
          </cell>
          <cell r="J12" t="str">
            <v>3c 4</v>
          </cell>
          <cell r="K12" t="str">
            <v>1c 4</v>
          </cell>
          <cell r="L12">
            <v>1.2333333333333334</v>
          </cell>
          <cell r="M12">
            <v>1.2333333333333334</v>
          </cell>
          <cell r="N12">
            <v>1.2333333333333334</v>
          </cell>
          <cell r="S12" t="str">
            <v>100mA ELCB + DOL STARTER</v>
          </cell>
        </row>
        <row r="13">
          <cell r="B13" t="str">
            <v>HW+PAU-H-5-3</v>
          </cell>
          <cell r="C13" t="str">
            <v>TP</v>
          </cell>
          <cell r="E13">
            <v>20</v>
          </cell>
          <cell r="G13">
            <v>22</v>
          </cell>
          <cell r="H13" t="str">
            <v>XLPE/SWA/ LSOH</v>
          </cell>
          <cell r="J13" t="str">
            <v>3c 4</v>
          </cell>
          <cell r="K13" t="str">
            <v>1c 4</v>
          </cell>
          <cell r="L13">
            <v>1.4833333333333334</v>
          </cell>
          <cell r="M13">
            <v>1.4833333333333334</v>
          </cell>
          <cell r="N13">
            <v>1.4833333333333334</v>
          </cell>
          <cell r="S13" t="str">
            <v>100mA ELCB + DOL STARTER</v>
          </cell>
        </row>
        <row r="14">
          <cell r="B14" t="str">
            <v>HW+PAU-H-5-4</v>
          </cell>
          <cell r="C14" t="str">
            <v>TP</v>
          </cell>
          <cell r="E14">
            <v>20</v>
          </cell>
          <cell r="G14">
            <v>22</v>
          </cell>
          <cell r="H14" t="str">
            <v>XLPE/SWA/ LSOH</v>
          </cell>
          <cell r="J14" t="str">
            <v>3c 4</v>
          </cell>
          <cell r="K14" t="str">
            <v>1c 4</v>
          </cell>
          <cell r="L14">
            <v>1.4833333333333334</v>
          </cell>
          <cell r="M14">
            <v>1.4833333333333334</v>
          </cell>
          <cell r="N14">
            <v>1.4833333333333334</v>
          </cell>
          <cell r="S14" t="str">
            <v>100mA ELCB + DOL STARTER</v>
          </cell>
        </row>
        <row r="15">
          <cell r="B15" t="str">
            <v>HW+PAU-H-4-1</v>
          </cell>
          <cell r="C15" t="str">
            <v>TP</v>
          </cell>
          <cell r="E15">
            <v>32</v>
          </cell>
          <cell r="G15">
            <v>22</v>
          </cell>
          <cell r="H15" t="str">
            <v>XLPE/SWA/ LSOH</v>
          </cell>
          <cell r="J15" t="str">
            <v>2 x 3c 6</v>
          </cell>
          <cell r="K15" t="str">
            <v>1c 6</v>
          </cell>
          <cell r="L15">
            <v>3.7333333333333329</v>
          </cell>
          <cell r="M15">
            <v>3.7333333333333329</v>
          </cell>
          <cell r="N15">
            <v>3.7333333333333329</v>
          </cell>
          <cell r="S15" t="str">
            <v>100mA ELCB + S/D STARTER</v>
          </cell>
        </row>
        <row r="16">
          <cell r="B16" t="str">
            <v>CONTROLS</v>
          </cell>
          <cell r="C16" t="str">
            <v>SP</v>
          </cell>
          <cell r="E16">
            <v>10</v>
          </cell>
          <cell r="G16">
            <v>22</v>
          </cell>
          <cell r="H16" t="str">
            <v>XLPE/SWA/ LSOH</v>
          </cell>
          <cell r="J16" t="str">
            <v>2c 1.5</v>
          </cell>
          <cell r="N16">
            <v>0.5</v>
          </cell>
        </row>
        <row r="25">
          <cell r="B25" t="str">
            <v>CONNECTED TO :</v>
          </cell>
          <cell r="C25" t="str">
            <v>MCP-H-5-1</v>
          </cell>
          <cell r="G25" t="str">
            <v>TOTAL CONNECTED LOAD PER PHASE</v>
          </cell>
          <cell r="L25">
            <v>10.3</v>
          </cell>
          <cell r="M25">
            <v>10.3</v>
          </cell>
          <cell r="N25">
            <v>10.8</v>
          </cell>
          <cell r="S25" t="str">
            <v>TOTAL</v>
          </cell>
        </row>
        <row r="26">
          <cell r="B26" t="str">
            <v xml:space="preserve">MAX. DEMAND (3 PH.):   </v>
          </cell>
          <cell r="C26">
            <v>28.26</v>
          </cell>
          <cell r="D26" t="str">
            <v>kW</v>
          </cell>
          <cell r="E26" t="str">
            <v xml:space="preserve">AT </v>
          </cell>
          <cell r="F26">
            <v>0.9</v>
          </cell>
          <cell r="G26" t="str">
            <v>DIVERSITY</v>
          </cell>
          <cell r="K26" t="str">
            <v xml:space="preserve">TOTAL CONNECTED LOAD(3 PH)   </v>
          </cell>
          <cell r="O26">
            <v>31.400000000000002</v>
          </cell>
          <cell r="P26" t="str">
            <v>kW</v>
          </cell>
        </row>
        <row r="28">
          <cell r="B28" t="str">
            <v>CONTRACTOR:</v>
          </cell>
          <cell r="L28" t="str">
            <v xml:space="preserve">TEL: </v>
          </cell>
          <cell r="P28" t="str">
            <v xml:space="preserve">FAX: </v>
          </cell>
        </row>
        <row r="30">
          <cell r="B30" t="str">
            <v>Type of Meter (Rating of Incomer):</v>
          </cell>
          <cell r="G30" t="str">
            <v>(1)  Upto 60A</v>
          </cell>
          <cell r="I30" t="str">
            <v>(2)  Upto 100 A</v>
          </cell>
          <cell r="L30" t="str">
            <v>(3)  125 - 160 A</v>
          </cell>
          <cell r="N30" t="str">
            <v>(4)  LV CT ..2500/5.......A</v>
          </cell>
          <cell r="R30" t="str">
            <v>HV  CT .........../..........A</v>
          </cell>
        </row>
        <row r="31">
          <cell r="G31" t="str">
            <v xml:space="preserve">       (1 Phase)</v>
          </cell>
          <cell r="I31" t="str">
            <v xml:space="preserve">       (3 Phase)</v>
          </cell>
          <cell r="L31" t="str">
            <v xml:space="preserve">       </v>
          </cell>
        </row>
      </sheetData>
      <sheetData sheetId="47" refreshError="1">
        <row r="2">
          <cell r="B2" t="str">
            <v>PROJECT: DUBAI MARINA MALL &amp; HOTEL APARTMENTS</v>
          </cell>
          <cell r="J2" t="str">
            <v>DETAILS OF CONNECTED LOAD/ MAX. DEMAND</v>
          </cell>
        </row>
        <row r="3">
          <cell r="J3" t="str">
            <v>OWNER:</v>
          </cell>
          <cell r="K3" t="str">
            <v>EMAAR PROPERTIES PSJC</v>
          </cell>
          <cell r="P3" t="str">
            <v>AREA:</v>
          </cell>
          <cell r="R3" t="str">
            <v>DUBAI,UNITED ARAB EMIRATES</v>
          </cell>
        </row>
        <row r="4">
          <cell r="F4" t="str">
            <v xml:space="preserve"> </v>
          </cell>
          <cell r="P4" t="str">
            <v xml:space="preserve"> LOCATION OF MCP: </v>
          </cell>
          <cell r="S4" t="str">
            <v>4TH FLOOR</v>
          </cell>
        </row>
        <row r="5">
          <cell r="B5" t="str">
            <v xml:space="preserve">MDB / SMDB </v>
          </cell>
          <cell r="C5" t="str">
            <v>LMCP-AHU-H-4-1</v>
          </cell>
          <cell r="J5" t="str">
            <v>CONSULTANT:MEINHARDT SINGAPORE PTE LTD.</v>
          </cell>
        </row>
        <row r="7">
          <cell r="B7" t="str">
            <v>CIRCUIT/</v>
          </cell>
          <cell r="C7" t="str">
            <v>SP/</v>
          </cell>
          <cell r="D7" t="str">
            <v>RATING - AMPS</v>
          </cell>
          <cell r="G7" t="str">
            <v>Isc FAULT</v>
          </cell>
          <cell r="H7" t="str">
            <v>FR or
XLPE</v>
          </cell>
          <cell r="I7" t="str">
            <v>CABLE SIZE</v>
          </cell>
          <cell r="K7" t="str">
            <v>CPC
SIZE-</v>
          </cell>
          <cell r="L7" t="str">
            <v>CONNECTED LOAD - KW</v>
          </cell>
          <cell r="O7" t="str">
            <v>PROPOSED TYPE &amp; NO. OF
KWH METERS</v>
          </cell>
        </row>
        <row r="8">
          <cell r="B8" t="str">
            <v>FEEDER
DB No.</v>
          </cell>
          <cell r="C8" t="str">
            <v>TP</v>
          </cell>
          <cell r="D8" t="str">
            <v>F/S
ISO</v>
          </cell>
          <cell r="E8" t="str">
            <v>MCCB</v>
          </cell>
          <cell r="F8" t="str">
            <v>MCB</v>
          </cell>
          <cell r="G8" t="str">
            <v>DUTY
KA</v>
          </cell>
          <cell r="H8" t="str">
            <v>SWA/
LS0H</v>
          </cell>
          <cell r="I8" t="str">
            <v>2/4 X1C
mm^2</v>
          </cell>
          <cell r="J8" t="str">
            <v>2/3/4C
mm^2</v>
          </cell>
          <cell r="K8" t="str">
            <v>1c
mm^2</v>
          </cell>
          <cell r="L8" t="str">
            <v>R-PH
KW</v>
          </cell>
          <cell r="M8" t="str">
            <v>Y-PH
KW</v>
          </cell>
          <cell r="N8" t="str">
            <v>B-PH
KW</v>
          </cell>
          <cell r="O8" t="str">
            <v>1 - PH
(1)</v>
          </cell>
          <cell r="P8" t="str">
            <v>3 - PH
(2)</v>
          </cell>
          <cell r="Q8" t="str">
            <v>3 - PH
(3)</v>
          </cell>
          <cell r="R8" t="str">
            <v>LV/H
CT (4)</v>
          </cell>
          <cell r="S8" t="str">
            <v>REMARKS</v>
          </cell>
        </row>
        <row r="9">
          <cell r="B9" t="str">
            <v>INCOMER (NON AUTO)</v>
          </cell>
          <cell r="C9" t="str">
            <v>TP</v>
          </cell>
          <cell r="E9">
            <v>80</v>
          </cell>
          <cell r="G9">
            <v>35</v>
          </cell>
          <cell r="H9" t="str">
            <v>XLPE/SWA/ LSOH</v>
          </cell>
          <cell r="J9" t="str">
            <v>4c 25</v>
          </cell>
          <cell r="K9" t="str">
            <v>1c 16</v>
          </cell>
          <cell r="L9">
            <v>6.833333333333333</v>
          </cell>
          <cell r="M9">
            <v>6.333333333333333</v>
          </cell>
          <cell r="N9">
            <v>6.333333333333333</v>
          </cell>
        </row>
        <row r="10">
          <cell r="B10" t="str">
            <v>OUTGOING</v>
          </cell>
        </row>
        <row r="11">
          <cell r="B11" t="str">
            <v>EF+HW+AHU-H-4-1</v>
          </cell>
          <cell r="C11" t="str">
            <v>TP</v>
          </cell>
          <cell r="E11">
            <v>63</v>
          </cell>
          <cell r="G11">
            <v>35</v>
          </cell>
          <cell r="H11" t="str">
            <v>XLPE/SWA/ LSOH</v>
          </cell>
          <cell r="J11" t="str">
            <v>2 x 3c 16</v>
          </cell>
          <cell r="K11" t="str">
            <v>1c 16</v>
          </cell>
          <cell r="L11">
            <v>6.333333333333333</v>
          </cell>
          <cell r="M11">
            <v>6.333333333333333</v>
          </cell>
          <cell r="N11">
            <v>6.333333333333333</v>
          </cell>
          <cell r="S11" t="str">
            <v>100mA ELCB + S/D STARTER</v>
          </cell>
        </row>
        <row r="12">
          <cell r="B12" t="str">
            <v>CONTROLS</v>
          </cell>
          <cell r="C12" t="str">
            <v>SP</v>
          </cell>
          <cell r="E12">
            <v>10</v>
          </cell>
          <cell r="G12">
            <v>22</v>
          </cell>
          <cell r="H12" t="str">
            <v>XLPE/SWA/ LSOH</v>
          </cell>
          <cell r="J12" t="str">
            <v>2c 1.5</v>
          </cell>
          <cell r="L12">
            <v>0.5</v>
          </cell>
        </row>
        <row r="25">
          <cell r="B25" t="str">
            <v>CONNECTED TO :</v>
          </cell>
          <cell r="C25" t="str">
            <v>MCP-H-5-1</v>
          </cell>
          <cell r="G25" t="str">
            <v>TOTAL CONNECTED LOAD PER PHASE</v>
          </cell>
          <cell r="L25">
            <v>6.833333333333333</v>
          </cell>
          <cell r="M25">
            <v>6.333333333333333</v>
          </cell>
          <cell r="N25">
            <v>6.333333333333333</v>
          </cell>
          <cell r="S25" t="str">
            <v>TOTAL</v>
          </cell>
        </row>
        <row r="26">
          <cell r="B26" t="str">
            <v xml:space="preserve">MAX. DEMAND (3 PH.):   </v>
          </cell>
          <cell r="C26">
            <v>19.5</v>
          </cell>
          <cell r="D26" t="str">
            <v>kW</v>
          </cell>
          <cell r="E26" t="str">
            <v xml:space="preserve">AT </v>
          </cell>
          <cell r="F26">
            <v>1</v>
          </cell>
          <cell r="G26" t="str">
            <v>DIVERSITY</v>
          </cell>
          <cell r="K26" t="str">
            <v xml:space="preserve">TOTAL CONNECTED LOAD(3 PH)   </v>
          </cell>
          <cell r="O26">
            <v>19.5</v>
          </cell>
          <cell r="P26" t="str">
            <v>kW</v>
          </cell>
        </row>
        <row r="28">
          <cell r="B28" t="str">
            <v>CONTRACTOR:</v>
          </cell>
          <cell r="L28" t="str">
            <v xml:space="preserve">TEL: </v>
          </cell>
          <cell r="P28" t="str">
            <v xml:space="preserve">FAX: </v>
          </cell>
        </row>
        <row r="30">
          <cell r="B30" t="str">
            <v>Type of Meter (Rating of Incomer):</v>
          </cell>
          <cell r="G30" t="str">
            <v>(1)  Upto 60A</v>
          </cell>
          <cell r="I30" t="str">
            <v>(2)  Upto 100 A</v>
          </cell>
          <cell r="L30" t="str">
            <v>(3)  125 - 160 A</v>
          </cell>
          <cell r="N30" t="str">
            <v>(4)  LV CT ..2500/5.......A</v>
          </cell>
          <cell r="R30" t="str">
            <v>HV  CT .........../..........A</v>
          </cell>
        </row>
        <row r="31">
          <cell r="G31" t="str">
            <v xml:space="preserve">       (1 Phase)</v>
          </cell>
          <cell r="I31" t="str">
            <v xml:space="preserve">       (3 Phase)</v>
          </cell>
          <cell r="L31" t="str">
            <v xml:space="preserve">       </v>
          </cell>
        </row>
      </sheetData>
      <sheetData sheetId="48" refreshError="1">
        <row r="2">
          <cell r="B2" t="str">
            <v>PROJECT: DUBAI MARINA MALL &amp; HOTEL/APARTMENTS</v>
          </cell>
          <cell r="J2" t="str">
            <v>DETAILS OF CONNECTED LOAD/ MAX. DEMAND</v>
          </cell>
        </row>
        <row r="3">
          <cell r="J3" t="str">
            <v>OWNER:</v>
          </cell>
          <cell r="K3" t="str">
            <v>EMAAR PROPERTIES PSJC</v>
          </cell>
          <cell r="P3" t="str">
            <v>AREA:</v>
          </cell>
          <cell r="R3" t="str">
            <v>DUBAI,UNITED ARAB EMIRATES</v>
          </cell>
        </row>
        <row r="4">
          <cell r="F4" t="str">
            <v xml:space="preserve"> </v>
          </cell>
          <cell r="P4" t="str">
            <v xml:space="preserve"> LOCATION OF MCP: </v>
          </cell>
          <cell r="S4" t="str">
            <v>5TH FLOOR</v>
          </cell>
        </row>
        <row r="5">
          <cell r="B5" t="str">
            <v xml:space="preserve">MDB / SMDB </v>
          </cell>
          <cell r="C5" t="str">
            <v>LMCP-KEF-H-LGM-1</v>
          </cell>
          <cell r="J5" t="str">
            <v>CONSULTANT:MEINHARDT SINGAPORE PTE LTD.</v>
          </cell>
        </row>
        <row r="7">
          <cell r="B7" t="str">
            <v>CIRCUIT/</v>
          </cell>
          <cell r="C7" t="str">
            <v>SP/</v>
          </cell>
          <cell r="D7" t="str">
            <v>RATING - AMPS</v>
          </cell>
          <cell r="G7" t="str">
            <v>Isc FAULT</v>
          </cell>
          <cell r="H7" t="str">
            <v>FR or
XLPE</v>
          </cell>
          <cell r="I7" t="str">
            <v>CABLE SIZE</v>
          </cell>
          <cell r="K7" t="str">
            <v>CPC
SIZE-</v>
          </cell>
          <cell r="L7" t="str">
            <v>CONNECTED LOAD - KW</v>
          </cell>
          <cell r="O7" t="str">
            <v>PROPOSED TYPE &amp; NO. OF
KWH METERS</v>
          </cell>
        </row>
        <row r="8">
          <cell r="B8" t="str">
            <v>FEEDER
DB No.</v>
          </cell>
          <cell r="C8" t="str">
            <v>TP</v>
          </cell>
          <cell r="D8" t="str">
            <v>F/S
ISO</v>
          </cell>
          <cell r="E8" t="str">
            <v>MCCB</v>
          </cell>
          <cell r="F8" t="str">
            <v>MCB</v>
          </cell>
          <cell r="G8" t="str">
            <v>DUTY
KA</v>
          </cell>
          <cell r="H8" t="str">
            <v>SWA/
LS0H</v>
          </cell>
          <cell r="I8" t="str">
            <v>2/4 X1C
mm^2</v>
          </cell>
          <cell r="J8" t="str">
            <v>2/3/4C
mm^2</v>
          </cell>
          <cell r="K8" t="str">
            <v>1c
mm^2</v>
          </cell>
          <cell r="L8" t="str">
            <v>R-PH
KW</v>
          </cell>
          <cell r="M8" t="str">
            <v>Y-PH
KW</v>
          </cell>
          <cell r="N8" t="str">
            <v>B-PH
KW</v>
          </cell>
          <cell r="O8" t="str">
            <v>1 - PH
(1)</v>
          </cell>
          <cell r="P8" t="str">
            <v>3 - PH
(2)</v>
          </cell>
          <cell r="Q8" t="str">
            <v>3 - PH
(3)</v>
          </cell>
          <cell r="R8" t="str">
            <v>LV/H
CT (4)</v>
          </cell>
          <cell r="S8" t="str">
            <v>REMARKS</v>
          </cell>
        </row>
        <row r="9">
          <cell r="B9" t="str">
            <v>INCOMER (NON AUTO)</v>
          </cell>
          <cell r="C9" t="str">
            <v>TP</v>
          </cell>
          <cell r="E9">
            <v>32</v>
          </cell>
          <cell r="G9">
            <v>22</v>
          </cell>
          <cell r="H9" t="str">
            <v>XLPE/SWA/ LSOH</v>
          </cell>
          <cell r="J9" t="str">
            <v>4c 6</v>
          </cell>
          <cell r="K9" t="str">
            <v>1c 6</v>
          </cell>
          <cell r="L9">
            <v>1.7333333333333334</v>
          </cell>
          <cell r="M9">
            <v>1.2333333333333334</v>
          </cell>
          <cell r="N9">
            <v>1.2333333333333334</v>
          </cell>
        </row>
        <row r="10">
          <cell r="B10" t="str">
            <v>OUTGOING</v>
          </cell>
        </row>
        <row r="11">
          <cell r="B11" t="str">
            <v>KEF-H-LGM-1</v>
          </cell>
          <cell r="C11" t="str">
            <v>TP</v>
          </cell>
          <cell r="E11">
            <v>20</v>
          </cell>
          <cell r="G11">
            <v>22</v>
          </cell>
          <cell r="H11" t="str">
            <v>XLPE/SWA/ LSOH</v>
          </cell>
          <cell r="J11" t="str">
            <v>3c 4</v>
          </cell>
          <cell r="K11" t="str">
            <v>1c 4</v>
          </cell>
          <cell r="L11">
            <v>1.2333333333333334</v>
          </cell>
          <cell r="M11">
            <v>1.2333333333333334</v>
          </cell>
          <cell r="N11">
            <v>1.2333333333333334</v>
          </cell>
          <cell r="S11" t="str">
            <v>100mA ELCB + DOL STARTER</v>
          </cell>
        </row>
        <row r="12">
          <cell r="B12" t="str">
            <v>CONTROLS</v>
          </cell>
          <cell r="C12" t="str">
            <v>SP</v>
          </cell>
          <cell r="E12">
            <v>10</v>
          </cell>
          <cell r="G12">
            <v>22</v>
          </cell>
          <cell r="H12" t="str">
            <v>XLPE/SWA/ LSOH</v>
          </cell>
          <cell r="J12" t="str">
            <v>2c 1.5</v>
          </cell>
          <cell r="L12">
            <v>0.5</v>
          </cell>
        </row>
        <row r="25">
          <cell r="B25" t="str">
            <v>CONNECTED TO :</v>
          </cell>
          <cell r="C25" t="str">
            <v>MCP-H-5-1</v>
          </cell>
          <cell r="G25" t="str">
            <v>TOTAL CONNECTED LOAD PER PHASE</v>
          </cell>
          <cell r="L25">
            <v>1.7333333333333334</v>
          </cell>
          <cell r="M25">
            <v>1.2333333333333334</v>
          </cell>
          <cell r="N25">
            <v>1.2333333333333334</v>
          </cell>
          <cell r="S25" t="str">
            <v>TOTAL</v>
          </cell>
        </row>
        <row r="26">
          <cell r="B26" t="str">
            <v xml:space="preserve">MAX. DEMAND (3 PH.):   </v>
          </cell>
          <cell r="C26">
            <v>4.2</v>
          </cell>
          <cell r="D26" t="str">
            <v>kW</v>
          </cell>
          <cell r="E26" t="str">
            <v xml:space="preserve">AT </v>
          </cell>
          <cell r="F26">
            <v>1</v>
          </cell>
          <cell r="G26" t="str">
            <v>DIVERSITY</v>
          </cell>
          <cell r="K26" t="str">
            <v xml:space="preserve">TOTAL CONNECTED LOAD(3 PH)   </v>
          </cell>
          <cell r="O26">
            <v>4.2</v>
          </cell>
          <cell r="P26" t="str">
            <v>kW</v>
          </cell>
        </row>
        <row r="28">
          <cell r="B28" t="str">
            <v>CONTRACTOR:</v>
          </cell>
          <cell r="L28" t="str">
            <v xml:space="preserve">TEL: </v>
          </cell>
          <cell r="P28" t="str">
            <v xml:space="preserve">FAX: </v>
          </cell>
        </row>
        <row r="30">
          <cell r="B30" t="str">
            <v>Type of Meter (Rating of Incomer):</v>
          </cell>
          <cell r="G30" t="str">
            <v>(1)  Upto 60A</v>
          </cell>
          <cell r="I30" t="str">
            <v>(2)  Upto 100 A</v>
          </cell>
          <cell r="L30" t="str">
            <v>(3)  125 - 160 A</v>
          </cell>
          <cell r="N30" t="str">
            <v>(4)  LV CT ..2500/5.......A</v>
          </cell>
          <cell r="R30" t="str">
            <v>HV  CT .........../..........A</v>
          </cell>
        </row>
        <row r="31">
          <cell r="G31" t="str">
            <v xml:space="preserve">       (1 Phase)</v>
          </cell>
          <cell r="I31" t="str">
            <v xml:space="preserve">       (3 Phase)</v>
          </cell>
          <cell r="L31" t="str">
            <v xml:space="preserve">       </v>
          </cell>
        </row>
      </sheetData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SB_M_COVER"/>
      <sheetName val="LVSB_M_7"/>
      <sheetName val="MSB_M_7"/>
      <sheetName val="SB_MC_2_1"/>
      <sheetName val="DB_MC_G_1A _1_"/>
      <sheetName val="DB_MC_G_1A _2_"/>
      <sheetName val="DB_MC_1_1A_1_"/>
      <sheetName val="DB_MC_1_1A_2_"/>
      <sheetName val="DB_M_1_3_1_"/>
      <sheetName val="DB_M_1_3_2_"/>
      <sheetName val="DB_M_1_3_3_"/>
      <sheetName val="DB_MC_2_1A_1_ "/>
      <sheetName val="DB_MC_2_1A_2_   "/>
      <sheetName val="DB_MC_2_1B _1_"/>
      <sheetName val="DB_MC_2_1B _2_"/>
      <sheetName val="DB_MC_2_1B _3_"/>
      <sheetName val="SB_MC_3_1"/>
      <sheetName val="DB_MC_3_1A_1_ "/>
      <sheetName val="DB_MC_3_1A_2_ "/>
      <sheetName val="DB_MC_3_1B_1_"/>
      <sheetName val="DB_MC_3_1B_2_"/>
      <sheetName val="DB_MC_3_2A_1_"/>
      <sheetName val="DB_MC_3_2A_2_"/>
      <sheetName val="DB_MC_3_2B_1_ "/>
      <sheetName val="DB_MC_3_2B_2_ "/>
      <sheetName val="SB_MC_3M_1"/>
      <sheetName val="DB_MC_3M_1A_1_ "/>
      <sheetName val="DB_MC_3M_1A_2_ "/>
      <sheetName val="DB_MC_3M_1B_1_"/>
      <sheetName val="DB_MC_3M_1B_2_"/>
      <sheetName val="DB_MC_3M_2A_1_"/>
      <sheetName val="DB_MC_3M_2A_2_"/>
      <sheetName val="DB_MC_3M_2B_1_"/>
      <sheetName val="DB_MC_3M_2B_2_"/>
      <sheetName val="SB_MC_4_1"/>
      <sheetName val="DB_MC_4_1A_1_ "/>
      <sheetName val="DB_MC_4_1A_2_ "/>
      <sheetName val="DB_MC_4_1B_1_"/>
      <sheetName val="DB_MC_4_1B_2_"/>
      <sheetName val="DB_MC_4_2A_1_ "/>
      <sheetName val="DB_MC_4_2A_2_ "/>
      <sheetName val="DB_MC_4_2B_1_"/>
      <sheetName val="DB_MC_4_2B_2_"/>
      <sheetName val="SB_MC_5_1"/>
      <sheetName val="DB_MC_5_1A_1_"/>
      <sheetName val="DB_MC_5_1A_2_"/>
      <sheetName val="DB_MC_5_1B_1_"/>
      <sheetName val="DB_MC_5_1B_2_"/>
      <sheetName val="DB_MC_5_2A_1_"/>
      <sheetName val="DB_MC_5_2A_2_ "/>
      <sheetName val="DB-MC-5-2B(1)"/>
      <sheetName val="DB-MC-5-2B(2)"/>
      <sheetName val="SB_MC_5M_1"/>
      <sheetName val="DB_MC_5M_1A _1_ "/>
      <sheetName val="DB_MC_5M_1A _2_  "/>
      <sheetName val="DB_MC_5M_1B _1_"/>
      <sheetName val="DB_MC_5M_1B _2_"/>
      <sheetName val="DB_MC_5M_1C"/>
      <sheetName val="DB_MC_5M_2A_1_"/>
      <sheetName val="DB_MC_5M_2A_2_"/>
      <sheetName val="DB_MC_5M_2B_1_"/>
      <sheetName val="DB_MC_5M_2B_2_ "/>
      <sheetName val="DB_MC_5M_2C_"/>
      <sheetName val="LSB_MC_R_1"/>
      <sheetName val="LSB_MC_R_2"/>
      <sheetName val="LSB_MC_R_3"/>
      <sheetName val="LSB_MG_R_1"/>
      <sheetName val="SBE_MC_2_3_1_"/>
      <sheetName val="SBE_MC_2_3_2_"/>
      <sheetName val="LMCP_JF_2_3"/>
      <sheetName val="LMCP_JF_2_4"/>
      <sheetName val="LMCP_JF_2_5"/>
      <sheetName val="LMCP_JF_3_3"/>
      <sheetName val="LMCP_JF_4_1"/>
      <sheetName val="LMCP_JF_4_4"/>
      <sheetName val="LMCP_JF_5_1"/>
      <sheetName val="LMCP_JF_6_1"/>
      <sheetName val="LMCP_JF_6_4"/>
      <sheetName val="LMCP_JF_7_1"/>
      <sheetName val="LMCP_H-TX_LG"/>
      <sheetName val="LVSB_M_8"/>
      <sheetName val="MSB_M_8"/>
      <sheetName val="SB_MC_B1_3 "/>
      <sheetName val="DB_MC_B2_3A_1_"/>
      <sheetName val="DB_MC_B2_3A_2_"/>
      <sheetName val="DB_MC_B2_3A_3_"/>
      <sheetName val="DB_MC_B2_3B_1_"/>
      <sheetName val="DB_MC_B2_3B_2_"/>
      <sheetName val="DB_MC_B2_3B_3_"/>
      <sheetName val="DB_MC_B1_3A_1_  "/>
      <sheetName val="DB_MC_B1_3A_2_"/>
      <sheetName val="DB_MC_B1_3B_1_"/>
      <sheetName val="DB_MC_B1_3B_2_"/>
      <sheetName val="DB_MC_B1_7"/>
      <sheetName val="DB_MC_B1_8"/>
      <sheetName val="SBE_MC_2_2"/>
      <sheetName val="LMCP_JF_3_5"/>
      <sheetName val="LMCP_JF_3_6"/>
      <sheetName val="LMCP_JF_4_5"/>
      <sheetName val="LMCP_JF_4_6"/>
      <sheetName val="LMCP_JF_5_5"/>
      <sheetName val="LMCP_JF_5_6"/>
      <sheetName val="LMCP_JF_6_5"/>
      <sheetName val="LMCP_JF_6_6"/>
      <sheetName val="LMCP_JF_7_5"/>
      <sheetName val="SBE_MC_LGM_2"/>
      <sheetName val="LMCP_JF_LGM_2"/>
      <sheetName val="LMCP_EF_R_LG_1"/>
      <sheetName val="LMCP_EF_R_LG_4"/>
      <sheetName val="SB-WF-M-LG-M-1"/>
      <sheetName val="SB_MC_B1_4"/>
      <sheetName val="DB_MC_B1_1A_1_"/>
      <sheetName val="DB_MC_B1_1A_2_"/>
      <sheetName val="DB_MC_B1_1B_1_"/>
      <sheetName val="DB_MC_B1_1B_2_"/>
      <sheetName val="DB_MC_B1_2A_1_"/>
      <sheetName val="DB_MC_B1_2A _2_"/>
      <sheetName val="DB_MC_B1_2B_1_"/>
      <sheetName val="DB_MC_B1_2B_2_"/>
      <sheetName val="SBE_MC_B1_2"/>
      <sheetName val="LMCP_JF_B1_2"/>
      <sheetName val="LMCP_JF_B2_3"/>
      <sheetName val="LMCP_JF_B2_9"/>
      <sheetName val="SB_MC_B2_1"/>
      <sheetName val="DB_MC_B2_1A_1_"/>
      <sheetName val="DB_MC_B2_1A_2_"/>
      <sheetName val="DB_MC_B2_1B_1_"/>
      <sheetName val="DB_MC_B2_1B_2_"/>
      <sheetName val="DB_MC_B2_2A_1_"/>
      <sheetName val="DB_MC_B2_2A_2_"/>
      <sheetName val="DB_MC_B2_2B_1_"/>
      <sheetName val="DB_MC_B2_2B_2_"/>
      <sheetName val="LMCP_EF_R_B2_3"/>
      <sheetName val="LSB_MC_R_4"/>
      <sheetName val="SB_M_G_1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1">
          <cell r="A1" t="str">
            <v>PROJECT: DUBAI MARINA MALL &amp; HOTEL/APARTMENT</v>
          </cell>
          <cell r="I1" t="str">
            <v>DETAILS OF CONNECTED LOAD/ MAX. DEMAND</v>
          </cell>
        </row>
        <row r="2">
          <cell r="I2" t="str">
            <v>OWNER:</v>
          </cell>
          <cell r="J2" t="str">
            <v>EMAAR PROPERTIES PSJC</v>
          </cell>
          <cell r="O2" t="str">
            <v>AREA:</v>
          </cell>
          <cell r="Q2" t="str">
            <v>DUBAI,UNITED ARAB EMIRATES</v>
          </cell>
        </row>
        <row r="3">
          <cell r="E3" t="str">
            <v xml:space="preserve"> </v>
          </cell>
          <cell r="O3" t="str">
            <v xml:space="preserve"> LOCATION OF MCP: </v>
          </cell>
          <cell r="R3" t="str">
            <v xml:space="preserve">LOWER GROUND FLOOR </v>
          </cell>
        </row>
        <row r="4">
          <cell r="A4" t="str">
            <v xml:space="preserve">MDB / SMDB </v>
          </cell>
          <cell r="B4" t="str">
            <v>LMCP-H-TX-LG</v>
          </cell>
          <cell r="I4" t="str">
            <v>CONSULTANT:MEINHARDT SINGAPORE PTE LTD.</v>
          </cell>
        </row>
        <row r="6">
          <cell r="A6" t="str">
            <v>CIRCUIT/</v>
          </cell>
          <cell r="B6" t="str">
            <v>SP/</v>
          </cell>
          <cell r="C6" t="str">
            <v>RATING - AMPS</v>
          </cell>
          <cell r="F6" t="str">
            <v>Isc FAULT</v>
          </cell>
          <cell r="G6" t="str">
            <v>FR or
XLPE</v>
          </cell>
          <cell r="H6" t="str">
            <v>CABLE SIZE</v>
          </cell>
          <cell r="J6" t="str">
            <v>CPC
SIZE-</v>
          </cell>
          <cell r="K6" t="str">
            <v>CONNECTED LOAD - KW</v>
          </cell>
          <cell r="N6" t="str">
            <v>PROPOSED TYPE &amp; NO. OF
KWH METERS</v>
          </cell>
        </row>
        <row r="7">
          <cell r="A7" t="str">
            <v>FEEDER
DB No.</v>
          </cell>
          <cell r="B7" t="str">
            <v>TP</v>
          </cell>
          <cell r="C7" t="str">
            <v>F/S
ISO</v>
          </cell>
          <cell r="D7" t="str">
            <v>MCCB</v>
          </cell>
          <cell r="E7" t="str">
            <v>MCB</v>
          </cell>
          <cell r="F7" t="str">
            <v>DUTY
KA</v>
          </cell>
          <cell r="G7" t="str">
            <v>SWA/
LS0H</v>
          </cell>
          <cell r="H7" t="str">
            <v>2/4 X1C
mm^2</v>
          </cell>
          <cell r="I7" t="str">
            <v>2/3/4C
mm^2</v>
          </cell>
          <cell r="J7" t="str">
            <v>1c
mm^2</v>
          </cell>
          <cell r="K7" t="str">
            <v>R-PH
KW</v>
          </cell>
          <cell r="L7" t="str">
            <v>Y-PH
KW</v>
          </cell>
          <cell r="M7" t="str">
            <v>B-PH
KW</v>
          </cell>
          <cell r="N7" t="str">
            <v>1 - PH
(1)</v>
          </cell>
          <cell r="O7" t="str">
            <v>3 - PH
(2)</v>
          </cell>
          <cell r="P7" t="str">
            <v>3 - PH
(3)</v>
          </cell>
          <cell r="Q7" t="str">
            <v>LV/H
CT (4)</v>
          </cell>
          <cell r="R7" t="str">
            <v>REMARKS</v>
          </cell>
        </row>
        <row r="8">
          <cell r="A8" t="str">
            <v>INCOMER (NON AUTO)</v>
          </cell>
          <cell r="B8" t="str">
            <v>TP</v>
          </cell>
          <cell r="D8">
            <v>250</v>
          </cell>
          <cell r="F8">
            <v>50</v>
          </cell>
          <cell r="G8" t="str">
            <v>XLPE/SWA/PVC</v>
          </cell>
          <cell r="I8" t="str">
            <v>4c 185</v>
          </cell>
          <cell r="J8" t="str">
            <v>1c 95</v>
          </cell>
          <cell r="K8">
            <v>38</v>
          </cell>
          <cell r="L8">
            <v>37.5</v>
          </cell>
          <cell r="M8">
            <v>37.5</v>
          </cell>
        </row>
        <row r="9">
          <cell r="A9" t="str">
            <v>OUTGOING</v>
          </cell>
        </row>
        <row r="10">
          <cell r="A10" t="str">
            <v>EF-B1-TX-1a</v>
          </cell>
          <cell r="B10" t="str">
            <v>TP</v>
          </cell>
          <cell r="D10">
            <v>63</v>
          </cell>
          <cell r="F10">
            <v>36</v>
          </cell>
          <cell r="G10" t="str">
            <v>XLPE/SWA/ LSOH</v>
          </cell>
          <cell r="I10" t="str">
            <v>2x3c 25</v>
          </cell>
          <cell r="J10" t="str">
            <v>1c 16</v>
          </cell>
          <cell r="K10">
            <v>7.5</v>
          </cell>
          <cell r="L10">
            <v>7.5</v>
          </cell>
          <cell r="M10">
            <v>7.5</v>
          </cell>
          <cell r="R10" t="str">
            <v>100mA ELCB + S/D STARTER</v>
          </cell>
        </row>
        <row r="11">
          <cell r="A11" t="str">
            <v>EF-B1-TX-1b</v>
          </cell>
          <cell r="B11" t="str">
            <v>TP</v>
          </cell>
          <cell r="D11">
            <v>63</v>
          </cell>
          <cell r="F11">
            <v>36</v>
          </cell>
          <cell r="G11" t="str">
            <v>XLPE/SWA/ LSOH</v>
          </cell>
          <cell r="I11" t="str">
            <v>2x3c 25</v>
          </cell>
          <cell r="J11" t="str">
            <v>1c 16</v>
          </cell>
          <cell r="K11">
            <v>7.5</v>
          </cell>
          <cell r="L11">
            <v>7.5</v>
          </cell>
          <cell r="M11">
            <v>7.5</v>
          </cell>
          <cell r="R11" t="str">
            <v>100mA ELCB + S/D STARTER</v>
          </cell>
        </row>
        <row r="12">
          <cell r="A12" t="str">
            <v>EF-B1-TX-2a</v>
          </cell>
          <cell r="B12" t="str">
            <v>TP</v>
          </cell>
          <cell r="D12">
            <v>63</v>
          </cell>
          <cell r="F12">
            <v>36</v>
          </cell>
          <cell r="G12" t="str">
            <v>XLPE/SWA/ LSOH</v>
          </cell>
          <cell r="I12" t="str">
            <v>2x3c 25</v>
          </cell>
          <cell r="J12" t="str">
            <v>1c 16</v>
          </cell>
          <cell r="K12">
            <v>7.5</v>
          </cell>
          <cell r="L12">
            <v>7.5</v>
          </cell>
          <cell r="M12">
            <v>7.5</v>
          </cell>
          <cell r="R12" t="str">
            <v>100mA ELCB + S/D STARTER</v>
          </cell>
        </row>
        <row r="13">
          <cell r="A13" t="str">
            <v>EF-B1-TX-2b</v>
          </cell>
          <cell r="B13" t="str">
            <v>TP</v>
          </cell>
          <cell r="D13">
            <v>63</v>
          </cell>
          <cell r="F13">
            <v>36</v>
          </cell>
          <cell r="G13" t="str">
            <v>XLPE/SWA/ LSOH</v>
          </cell>
          <cell r="I13" t="str">
            <v>2x3c 25</v>
          </cell>
          <cell r="J13" t="str">
            <v>1c 16</v>
          </cell>
          <cell r="K13">
            <v>7.5</v>
          </cell>
          <cell r="L13">
            <v>7.5</v>
          </cell>
          <cell r="M13">
            <v>7.5</v>
          </cell>
          <cell r="R13" t="str">
            <v>100mA ELCB + S/D STARTER</v>
          </cell>
        </row>
        <row r="14">
          <cell r="A14" t="str">
            <v>EF-B1-TX-3a</v>
          </cell>
          <cell r="B14" t="str">
            <v>TP</v>
          </cell>
          <cell r="D14">
            <v>63</v>
          </cell>
          <cell r="F14">
            <v>36</v>
          </cell>
          <cell r="G14" t="str">
            <v>XLPE/SWA/ LSOH</v>
          </cell>
          <cell r="I14" t="str">
            <v>2x3c 25</v>
          </cell>
          <cell r="J14" t="str">
            <v>1c 16</v>
          </cell>
          <cell r="K14">
            <v>7.5</v>
          </cell>
          <cell r="L14">
            <v>7.5</v>
          </cell>
          <cell r="M14">
            <v>7.5</v>
          </cell>
          <cell r="R14" t="str">
            <v>100mA ELCB + S/D STARTER</v>
          </cell>
        </row>
        <row r="15">
          <cell r="A15" t="str">
            <v>EF-B1-TX-3b (stand by)</v>
          </cell>
          <cell r="B15" t="str">
            <v>TP</v>
          </cell>
          <cell r="D15">
            <v>63</v>
          </cell>
          <cell r="F15">
            <v>36</v>
          </cell>
          <cell r="G15" t="str">
            <v>XLPE/SWA/ LSOH</v>
          </cell>
          <cell r="I15" t="str">
            <v>2x3c 25</v>
          </cell>
          <cell r="J15" t="str">
            <v>1c 16</v>
          </cell>
        </row>
        <row r="16">
          <cell r="A16" t="str">
            <v>CONTROLS</v>
          </cell>
          <cell r="B16" t="str">
            <v>SP</v>
          </cell>
          <cell r="D16">
            <v>10</v>
          </cell>
          <cell r="F16">
            <v>36</v>
          </cell>
          <cell r="G16" t="str">
            <v>XLPE/SWA/ LSOH</v>
          </cell>
          <cell r="I16" t="str">
            <v>2c 1.5</v>
          </cell>
          <cell r="K16">
            <v>0.5</v>
          </cell>
        </row>
        <row r="21">
          <cell r="A21" t="str">
            <v xml:space="preserve"> </v>
          </cell>
        </row>
        <row r="22">
          <cell r="A22" t="str">
            <v xml:space="preserve">CONNECTED TO : </v>
          </cell>
          <cell r="B22" t="str">
            <v>MSB-M-7</v>
          </cell>
          <cell r="F22" t="str">
            <v>TOTAL CONNECTED LOAD PER PHASE</v>
          </cell>
          <cell r="K22">
            <v>38</v>
          </cell>
          <cell r="L22">
            <v>37.5</v>
          </cell>
          <cell r="M22">
            <v>37.5</v>
          </cell>
          <cell r="R22" t="str">
            <v>TOTAL</v>
          </cell>
        </row>
        <row r="25">
          <cell r="A25" t="str">
            <v xml:space="preserve">MAX. DEMAND (3 PH.):   </v>
          </cell>
          <cell r="B25">
            <v>101.7</v>
          </cell>
          <cell r="C25" t="str">
            <v>kW</v>
          </cell>
          <cell r="D25" t="str">
            <v xml:space="preserve">AT </v>
          </cell>
          <cell r="E25">
            <v>0.9</v>
          </cell>
          <cell r="F25" t="str">
            <v>DIVERSITY</v>
          </cell>
          <cell r="J25" t="str">
            <v xml:space="preserve">TOTAL CONNECTED LOAD(3 PH)   </v>
          </cell>
          <cell r="N25">
            <v>113</v>
          </cell>
          <cell r="O25" t="str">
            <v>kW</v>
          </cell>
        </row>
        <row r="28">
          <cell r="A28" t="str">
            <v>CONTRACTOR:</v>
          </cell>
          <cell r="K28" t="str">
            <v xml:space="preserve">TEL: </v>
          </cell>
          <cell r="O28" t="str">
            <v xml:space="preserve">FAX: </v>
          </cell>
        </row>
        <row r="30">
          <cell r="A30" t="str">
            <v>Type of Meter (Rating of Incomer):</v>
          </cell>
          <cell r="F30" t="str">
            <v>(1)  Upto 60A</v>
          </cell>
          <cell r="H30" t="str">
            <v>(2)  Upto 100 A</v>
          </cell>
          <cell r="K30" t="str">
            <v>(3)  125 - 160 A</v>
          </cell>
          <cell r="M30" t="str">
            <v>(4)  LV CT ..2500/5.......A</v>
          </cell>
          <cell r="Q30" t="str">
            <v>HV  CT .........../..........A</v>
          </cell>
        </row>
        <row r="31">
          <cell r="F31" t="str">
            <v xml:space="preserve">       (1 Phase)</v>
          </cell>
          <cell r="H31" t="str">
            <v xml:space="preserve">       (3 Phase)</v>
          </cell>
          <cell r="K31" t="str">
            <v xml:space="preserve">       </v>
          </cell>
        </row>
      </sheetData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-MC-LGM-1B"/>
      <sheetName val="DB-MC-LGM-1A"/>
      <sheetName val="DB-MC-LGM-2A"/>
      <sheetName val="DB-MC-LG-1B"/>
      <sheetName val="DB-MC-LG-1A"/>
      <sheetName val="SB_MC_LG_1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">
          <cell r="A1" t="str">
            <v>PROJECT: DUBAI MARINA MALL &amp; HOTEL/APARTMENT</v>
          </cell>
          <cell r="I1" t="str">
            <v>DETAILS OF CONNECTED LOAD/ MAX. DEMAND</v>
          </cell>
        </row>
        <row r="2">
          <cell r="I2" t="str">
            <v>OWNER:</v>
          </cell>
          <cell r="J2" t="str">
            <v>EMAAR PROPERTIES PSJC</v>
          </cell>
          <cell r="O2" t="str">
            <v>AREA:</v>
          </cell>
          <cell r="Q2" t="str">
            <v>DUBAI,UNITED ARAB EMIRATES</v>
          </cell>
        </row>
        <row r="3">
          <cell r="E3" t="str">
            <v xml:space="preserve"> </v>
          </cell>
          <cell r="O3" t="str">
            <v xml:space="preserve"> LOCATION OF MCP: </v>
          </cell>
          <cell r="R3" t="str">
            <v>LOWER GROUND FLOOR</v>
          </cell>
        </row>
        <row r="4">
          <cell r="A4" t="str">
            <v xml:space="preserve">MDB / SMDB </v>
          </cell>
          <cell r="B4" t="str">
            <v>SB-MC-LG-1</v>
          </cell>
          <cell r="I4" t="str">
            <v>CONSULTANT:MEINHARDT SINGAPORE PTE LTD.</v>
          </cell>
        </row>
        <row r="6">
          <cell r="A6" t="str">
            <v>CIRCUIT/</v>
          </cell>
          <cell r="B6" t="str">
            <v>SP/</v>
          </cell>
          <cell r="C6" t="str">
            <v>RATING - AMPS</v>
          </cell>
          <cell r="F6" t="str">
            <v>Isc FAULT</v>
          </cell>
          <cell r="G6" t="str">
            <v>FR or
XLPE</v>
          </cell>
          <cell r="H6" t="str">
            <v>CABLE SIZE</v>
          </cell>
          <cell r="J6" t="str">
            <v>ECC
SIZE-</v>
          </cell>
          <cell r="K6" t="str">
            <v>CONNECTED LOAD - KW</v>
          </cell>
          <cell r="N6" t="str">
            <v>PROPOSED TYPE &amp; NO. OF
KWH METERS</v>
          </cell>
        </row>
        <row r="7">
          <cell r="A7" t="str">
            <v>FEEDER
DB No.</v>
          </cell>
          <cell r="B7" t="str">
            <v>TP</v>
          </cell>
          <cell r="C7" t="str">
            <v>F/S
ISO</v>
          </cell>
          <cell r="D7" t="str">
            <v>MCCB</v>
          </cell>
          <cell r="E7" t="str">
            <v>MCB</v>
          </cell>
          <cell r="F7" t="str">
            <v>DUTY
KA</v>
          </cell>
          <cell r="G7" t="str">
            <v>SWA/
LS0H</v>
          </cell>
          <cell r="H7" t="str">
            <v>2/4 X1C
mm^2</v>
          </cell>
          <cell r="I7" t="str">
            <v>2/3/4C
mm^2</v>
          </cell>
          <cell r="J7" t="str">
            <v>1c
mm^2</v>
          </cell>
          <cell r="K7" t="str">
            <v>R-PH
KW</v>
          </cell>
          <cell r="L7" t="str">
            <v>Y-PH
KW</v>
          </cell>
          <cell r="M7" t="str">
            <v>B-PH
KW</v>
          </cell>
          <cell r="N7" t="str">
            <v>1 - PH
(1)</v>
          </cell>
          <cell r="O7" t="str">
            <v>3 - PH
(2)</v>
          </cell>
          <cell r="P7" t="str">
            <v>3 - PH
(3)</v>
          </cell>
          <cell r="Q7" t="str">
            <v>LV/H
CT (4)</v>
          </cell>
          <cell r="R7" t="str">
            <v>REMARKS</v>
          </cell>
        </row>
        <row r="8">
          <cell r="A8" t="str">
            <v>INCOMER (NON AUTO)</v>
          </cell>
          <cell r="B8" t="str">
            <v>TP</v>
          </cell>
          <cell r="D8">
            <v>250</v>
          </cell>
          <cell r="F8">
            <v>50</v>
          </cell>
          <cell r="G8" t="str">
            <v>FR/SWA/ LSOH</v>
          </cell>
          <cell r="I8" t="str">
            <v>4c 240</v>
          </cell>
          <cell r="J8" t="str">
            <v>1c 120</v>
          </cell>
          <cell r="K8">
            <v>35.820000000000007</v>
          </cell>
          <cell r="L8">
            <v>33.549999999999997</v>
          </cell>
          <cell r="M8">
            <v>30.12</v>
          </cell>
        </row>
        <row r="9">
          <cell r="A9" t="str">
            <v>OUTGOING</v>
          </cell>
        </row>
        <row r="10">
          <cell r="A10" t="str">
            <v>DB-MC-LG-1A</v>
          </cell>
          <cell r="B10" t="str">
            <v>TP</v>
          </cell>
          <cell r="D10">
            <v>63</v>
          </cell>
          <cell r="F10">
            <v>36</v>
          </cell>
          <cell r="G10" t="str">
            <v>XLPE/SWA/ LSOH</v>
          </cell>
          <cell r="I10" t="str">
            <v>4c 25</v>
          </cell>
          <cell r="J10" t="str">
            <v>1c 16</v>
          </cell>
          <cell r="K10">
            <v>6.19</v>
          </cell>
          <cell r="L10">
            <v>4.97</v>
          </cell>
          <cell r="M10">
            <v>5.4</v>
          </cell>
        </row>
        <row r="11">
          <cell r="A11" t="str">
            <v>DB-MC-LG-1B</v>
          </cell>
          <cell r="B11" t="str">
            <v>TP</v>
          </cell>
          <cell r="D11">
            <v>32</v>
          </cell>
          <cell r="F11">
            <v>36</v>
          </cell>
          <cell r="G11" t="str">
            <v>XLPE/SWA/ LSOH</v>
          </cell>
          <cell r="I11" t="str">
            <v>4c  6</v>
          </cell>
          <cell r="J11" t="str">
            <v>1c 6</v>
          </cell>
          <cell r="K11">
            <v>6.03</v>
          </cell>
          <cell r="L11">
            <v>5.08</v>
          </cell>
          <cell r="M11">
            <v>5.07</v>
          </cell>
        </row>
        <row r="12">
          <cell r="A12" t="str">
            <v>DB-MC-LGM-1A</v>
          </cell>
          <cell r="B12" t="str">
            <v>TP</v>
          </cell>
          <cell r="D12">
            <v>32</v>
          </cell>
          <cell r="F12">
            <v>36</v>
          </cell>
          <cell r="G12" t="str">
            <v>XLPE/SWA/ LSOH</v>
          </cell>
          <cell r="I12" t="str">
            <v>4c 25</v>
          </cell>
          <cell r="J12" t="str">
            <v>1c 16</v>
          </cell>
          <cell r="K12">
            <v>8.8000000000000007</v>
          </cell>
          <cell r="L12">
            <v>9.6999999999999993</v>
          </cell>
          <cell r="M12">
            <v>5.45</v>
          </cell>
        </row>
        <row r="13">
          <cell r="A13" t="str">
            <v>DB-MC-LGM-1B</v>
          </cell>
          <cell r="B13" t="str">
            <v>TP</v>
          </cell>
          <cell r="D13">
            <v>32</v>
          </cell>
          <cell r="F13">
            <v>36</v>
          </cell>
          <cell r="G13" t="str">
            <v>XLPE/SWA/ LSOH</v>
          </cell>
          <cell r="I13" t="str">
            <v>4c 25</v>
          </cell>
          <cell r="J13" t="str">
            <v>1c 16</v>
          </cell>
          <cell r="K13">
            <v>6.1</v>
          </cell>
          <cell r="L13">
            <v>4.9000000000000004</v>
          </cell>
          <cell r="M13">
            <v>5.4</v>
          </cell>
        </row>
        <row r="14">
          <cell r="A14" t="str">
            <v>DB-MC-LGM-2A</v>
          </cell>
          <cell r="B14" t="str">
            <v>TP</v>
          </cell>
          <cell r="D14">
            <v>32</v>
          </cell>
          <cell r="F14">
            <v>36</v>
          </cell>
          <cell r="G14" t="str">
            <v>XLPE/SWA/ LSOH</v>
          </cell>
          <cell r="I14" t="str">
            <v>4c 25</v>
          </cell>
          <cell r="J14" t="str">
            <v>1c 16</v>
          </cell>
          <cell r="K14">
            <v>8.6999999999999993</v>
          </cell>
          <cell r="L14">
            <v>8.9</v>
          </cell>
          <cell r="M14">
            <v>8.8000000000000007</v>
          </cell>
        </row>
        <row r="21">
          <cell r="A21" t="str">
            <v xml:space="preserve"> </v>
          </cell>
        </row>
        <row r="22">
          <cell r="A22" t="str">
            <v xml:space="preserve">CONNECTED TO : </v>
          </cell>
          <cell r="B22" t="str">
            <v>MSB-M-11</v>
          </cell>
          <cell r="F22" t="str">
            <v>TOTAL CONNECTED LOAD PER PHASE</v>
          </cell>
          <cell r="K22">
            <v>35.820000000000007</v>
          </cell>
          <cell r="L22">
            <v>33.549999999999997</v>
          </cell>
          <cell r="M22">
            <v>30.12</v>
          </cell>
          <cell r="R22" t="str">
            <v>TOTAL</v>
          </cell>
        </row>
        <row r="25">
          <cell r="A25" t="str">
            <v xml:space="preserve">MAX. DEMAND (3 PH.):   </v>
          </cell>
          <cell r="B25">
            <v>89.541000000000011</v>
          </cell>
          <cell r="C25" t="str">
            <v>kW</v>
          </cell>
          <cell r="D25" t="str">
            <v xml:space="preserve">AT </v>
          </cell>
          <cell r="E25">
            <v>0.9</v>
          </cell>
          <cell r="F25" t="str">
            <v>DIVERSITY</v>
          </cell>
          <cell r="J25" t="str">
            <v xml:space="preserve">TOTAL CONNECTED LOAD(3 PH)   </v>
          </cell>
          <cell r="N25">
            <v>99.490000000000009</v>
          </cell>
          <cell r="O25" t="str">
            <v>kW</v>
          </cell>
        </row>
        <row r="28">
          <cell r="A28" t="str">
            <v>CONTRACTOR:</v>
          </cell>
          <cell r="K28" t="str">
            <v xml:space="preserve">TEL: </v>
          </cell>
          <cell r="O28" t="str">
            <v xml:space="preserve">FAX: </v>
          </cell>
        </row>
        <row r="30">
          <cell r="A30" t="str">
            <v>Type of Meter (Rating of Incomer):</v>
          </cell>
          <cell r="F30" t="str">
            <v>(1)  Upto 60A</v>
          </cell>
          <cell r="H30" t="str">
            <v>(2)  Upto 100 A</v>
          </cell>
          <cell r="K30" t="str">
            <v>(3)  125 - 160 A</v>
          </cell>
          <cell r="M30" t="str">
            <v>(4)  LV CT ..2500/5.......A</v>
          </cell>
          <cell r="Q30" t="str">
            <v>HV  CT .........../..........A</v>
          </cell>
        </row>
        <row r="31">
          <cell r="F31" t="str">
            <v xml:space="preserve">       (1 Phase)</v>
          </cell>
          <cell r="H31" t="str">
            <v xml:space="preserve">       (3 Phase)</v>
          </cell>
          <cell r="K31" t="str">
            <v xml:space="preserve">       </v>
          </cell>
        </row>
      </sheetData>
      <sheetData sheetId="6" refreshError="1"/>
      <sheetData sheetId="7" refreshError="1"/>
      <sheetData sheetId="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SB_M_COVER"/>
      <sheetName val="LVSB_M_9"/>
      <sheetName val="MSB_M_9"/>
      <sheetName val="SBE_MC_B2_1"/>
      <sheetName val="LMCP_CEF_B2_1"/>
      <sheetName val="LMCP_CSF_B2_1"/>
      <sheetName val="SBE_MC_B1_1"/>
      <sheetName val="LMCP_CEF_B1_1"/>
      <sheetName val="LMCP_CSF_B1_1"/>
      <sheetName val="SBE_MC_LG_1"/>
      <sheetName val="LMCP_CSF_LG_1"/>
      <sheetName val="LMCP_CEF_LG_1"/>
      <sheetName val="LMCP-JF-LG-2"/>
      <sheetName val="LMCP-JF-LG-3"/>
      <sheetName val="SBE_MC_LGM_1"/>
      <sheetName val="LMCP_CEF_LGM_1 "/>
      <sheetName val="LMCP_CSF_LGM_1"/>
      <sheetName val="LMCP_SVF_R_LGM_1"/>
      <sheetName val="LVSB_M_10"/>
      <sheetName val="MSB_M_10"/>
      <sheetName val="SBE_M_LGM_3"/>
      <sheetName val="LMCP_SEF_R_LGM_1"/>
      <sheetName val="SBE_M_LG_2"/>
      <sheetName val="LMCP_AHU_R_LG_2"/>
      <sheetName val="LMCP_AHU_R_G_2"/>
      <sheetName val="LMCP_AHU_R_1_2"/>
      <sheetName val="LMCP_AHU_R_2_2"/>
      <sheetName val="LMCP_PAU_R_2_1"/>
      <sheetName val="LMCP_SEF_R_1_1"/>
      <sheetName val="SB_MC_LG_2"/>
      <sheetName val="SB_HC_LG_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PROJECT: DUBAI MARINA MALL &amp; HOTEL/APARTMENTS</v>
          </cell>
          <cell r="I1" t="str">
            <v>DETAILS OF CONNECTED LOAD/ MAX. DEMAND</v>
          </cell>
        </row>
        <row r="2">
          <cell r="I2" t="str">
            <v>OWNER:</v>
          </cell>
          <cell r="J2" t="str">
            <v>EMAAR PROPERTIES PSJC</v>
          </cell>
          <cell r="O2" t="str">
            <v>AREA:</v>
          </cell>
          <cell r="Q2" t="str">
            <v>DUBAI,UNITED ARAB EMIRATES</v>
          </cell>
        </row>
        <row r="3">
          <cell r="E3" t="str">
            <v xml:space="preserve"> </v>
          </cell>
          <cell r="O3" t="str">
            <v xml:space="preserve"> LOCATION OF MCP: </v>
          </cell>
          <cell r="R3" t="str">
            <v xml:space="preserve">LOWER GROUND FLOOR </v>
          </cell>
        </row>
        <row r="4">
          <cell r="A4" t="str">
            <v xml:space="preserve">MDB / SMDB </v>
          </cell>
          <cell r="B4" t="str">
            <v>LMCP-CEF-LG-1</v>
          </cell>
          <cell r="I4" t="str">
            <v>CONSULTANT:MEINHARDT SINGAPORE PTE LTD.</v>
          </cell>
        </row>
        <row r="6">
          <cell r="A6" t="str">
            <v>CIRCUIT/</v>
          </cell>
          <cell r="B6" t="str">
            <v>SP/</v>
          </cell>
          <cell r="C6" t="str">
            <v>RATING - AMPS</v>
          </cell>
          <cell r="F6" t="str">
            <v>Isc FAULT</v>
          </cell>
          <cell r="G6" t="str">
            <v>FR or
XLPE</v>
          </cell>
          <cell r="H6" t="str">
            <v>CABLE SIZE</v>
          </cell>
          <cell r="J6" t="str">
            <v>ECC
SIZE-</v>
          </cell>
          <cell r="K6" t="str">
            <v>CONNECTED LOAD - KW</v>
          </cell>
          <cell r="N6" t="str">
            <v>PROPOSED TYPE &amp; NO. OF
KWH METERS</v>
          </cell>
        </row>
        <row r="7">
          <cell r="A7" t="str">
            <v>FEEDER
DB No.</v>
          </cell>
          <cell r="B7" t="str">
            <v>TP</v>
          </cell>
          <cell r="C7" t="str">
            <v>F/S
ISO</v>
          </cell>
          <cell r="D7" t="str">
            <v>MCCB</v>
          </cell>
          <cell r="E7" t="str">
            <v>MCB</v>
          </cell>
          <cell r="F7" t="str">
            <v>DUTY
KA</v>
          </cell>
          <cell r="G7" t="str">
            <v>SWA/
LS0H</v>
          </cell>
          <cell r="H7" t="str">
            <v>2/4 X1C
mm^2</v>
          </cell>
          <cell r="I7" t="str">
            <v>2/3/4C
mm^2</v>
          </cell>
          <cell r="J7" t="str">
            <v>1c
mm^2</v>
          </cell>
          <cell r="K7" t="str">
            <v>R-PH
KW</v>
          </cell>
          <cell r="L7" t="str">
            <v>Y-PH
KW</v>
          </cell>
          <cell r="M7" t="str">
            <v>B-PH
KW</v>
          </cell>
          <cell r="N7" t="str">
            <v>1 - PH
(1)</v>
          </cell>
          <cell r="O7" t="str">
            <v>3 - PH
(2)</v>
          </cell>
          <cell r="P7" t="str">
            <v>3 - PH
(3)</v>
          </cell>
          <cell r="Q7" t="str">
            <v>LV/H
CT (4)</v>
          </cell>
          <cell r="R7" t="str">
            <v>REMARKS</v>
          </cell>
        </row>
        <row r="8">
          <cell r="A8" t="str">
            <v>INCOMER (NON AUTO)</v>
          </cell>
          <cell r="B8" t="str">
            <v>TP</v>
          </cell>
          <cell r="D8">
            <v>250</v>
          </cell>
          <cell r="F8">
            <v>50</v>
          </cell>
          <cell r="G8" t="str">
            <v>FR/SWA/ LSOH</v>
          </cell>
          <cell r="I8" t="str">
            <v>4c 150</v>
          </cell>
          <cell r="J8" t="str">
            <v>1c 70</v>
          </cell>
          <cell r="K8">
            <v>30.366666666666667</v>
          </cell>
          <cell r="L8">
            <v>29.866666666666667</v>
          </cell>
          <cell r="M8">
            <v>29.866666666666667</v>
          </cell>
        </row>
        <row r="9">
          <cell r="A9" t="str">
            <v>OUTGOING</v>
          </cell>
        </row>
        <row r="10">
          <cell r="A10" t="str">
            <v>CEF-LG-1a</v>
          </cell>
          <cell r="B10" t="str">
            <v>TP</v>
          </cell>
          <cell r="D10">
            <v>40</v>
          </cell>
          <cell r="F10">
            <v>22</v>
          </cell>
          <cell r="G10" t="str">
            <v>FR/SWA/ LSOH</v>
          </cell>
          <cell r="I10" t="str">
            <v>2 x 3c 10</v>
          </cell>
          <cell r="J10" t="str">
            <v>1c 10</v>
          </cell>
          <cell r="K10">
            <v>3.7333333333333329</v>
          </cell>
          <cell r="L10">
            <v>3.7333333333333329</v>
          </cell>
          <cell r="M10">
            <v>3.7333333333333329</v>
          </cell>
          <cell r="R10" t="str">
            <v>100mA ELCB + S/D STARTER</v>
          </cell>
        </row>
        <row r="11">
          <cell r="A11" t="str">
            <v>CEF-LG-1b</v>
          </cell>
          <cell r="B11" t="str">
            <v>TP</v>
          </cell>
          <cell r="D11">
            <v>40</v>
          </cell>
          <cell r="F11">
            <v>22</v>
          </cell>
          <cell r="G11" t="str">
            <v>FR/SWA/ LSOH</v>
          </cell>
          <cell r="I11" t="str">
            <v>2 x 3c 10</v>
          </cell>
          <cell r="J11" t="str">
            <v>1c 10</v>
          </cell>
          <cell r="K11">
            <v>3.7333333333333329</v>
          </cell>
          <cell r="L11">
            <v>3.7333333333333329</v>
          </cell>
          <cell r="M11">
            <v>3.7333333333333329</v>
          </cell>
          <cell r="R11" t="str">
            <v>100mA ELCB + S/D STARTER</v>
          </cell>
        </row>
        <row r="12">
          <cell r="A12" t="str">
            <v>CEF-LG-1c</v>
          </cell>
          <cell r="B12" t="str">
            <v>TP</v>
          </cell>
          <cell r="D12">
            <v>40</v>
          </cell>
          <cell r="F12">
            <v>22</v>
          </cell>
          <cell r="G12" t="str">
            <v>FR/SWA/ LSOH</v>
          </cell>
          <cell r="I12" t="str">
            <v>2 x 3c 10</v>
          </cell>
          <cell r="J12" t="str">
            <v>1c 10</v>
          </cell>
          <cell r="K12">
            <v>3.7333333333333329</v>
          </cell>
          <cell r="L12">
            <v>3.7333333333333329</v>
          </cell>
          <cell r="M12">
            <v>3.7333333333333329</v>
          </cell>
          <cell r="R12" t="str">
            <v>100mA ELCB + S/D STARTER</v>
          </cell>
        </row>
        <row r="13">
          <cell r="A13" t="str">
            <v>CEF-LG-1d</v>
          </cell>
          <cell r="B13" t="str">
            <v>TP</v>
          </cell>
          <cell r="D13">
            <v>40</v>
          </cell>
          <cell r="F13">
            <v>22</v>
          </cell>
          <cell r="G13" t="str">
            <v>FR/SWA/ LSOH</v>
          </cell>
          <cell r="I13" t="str">
            <v>2 x 3c 10</v>
          </cell>
          <cell r="J13" t="str">
            <v>1c 10</v>
          </cell>
          <cell r="K13">
            <v>3.7333333333333329</v>
          </cell>
          <cell r="L13">
            <v>3.7333333333333329</v>
          </cell>
          <cell r="M13">
            <v>3.7333333333333329</v>
          </cell>
          <cell r="R13" t="str">
            <v>100mA ELCB + S/D STARTER</v>
          </cell>
        </row>
        <row r="14">
          <cell r="A14" t="str">
            <v>CEF-LG-1e</v>
          </cell>
          <cell r="B14" t="str">
            <v>TP</v>
          </cell>
          <cell r="D14">
            <v>40</v>
          </cell>
          <cell r="F14">
            <v>22</v>
          </cell>
          <cell r="G14" t="str">
            <v>FR/SWA/ LSOH</v>
          </cell>
          <cell r="I14" t="str">
            <v>2 x 3c 10</v>
          </cell>
          <cell r="J14" t="str">
            <v>1c 10</v>
          </cell>
          <cell r="K14">
            <v>3.7333333333333329</v>
          </cell>
          <cell r="L14">
            <v>3.7333333333333329</v>
          </cell>
          <cell r="M14">
            <v>3.7333333333333329</v>
          </cell>
          <cell r="R14" t="str">
            <v>100mA ELCB + S/D STARTER</v>
          </cell>
        </row>
        <row r="15">
          <cell r="A15" t="str">
            <v>CEF-LG-1f</v>
          </cell>
          <cell r="B15" t="str">
            <v>TP</v>
          </cell>
          <cell r="D15">
            <v>40</v>
          </cell>
          <cell r="F15">
            <v>22</v>
          </cell>
          <cell r="G15" t="str">
            <v>FR/SWA/ LSOH</v>
          </cell>
          <cell r="I15" t="str">
            <v>2 x 3c 10</v>
          </cell>
          <cell r="J15" t="str">
            <v>1c 10</v>
          </cell>
          <cell r="K15">
            <v>3.7333333333333329</v>
          </cell>
          <cell r="L15">
            <v>3.7333333333333329</v>
          </cell>
          <cell r="M15">
            <v>3.7333333333333329</v>
          </cell>
          <cell r="R15" t="str">
            <v>100mA ELCB + S/D STARTER</v>
          </cell>
        </row>
        <row r="16">
          <cell r="A16" t="str">
            <v>CEF-LG-1g</v>
          </cell>
          <cell r="B16" t="str">
            <v>TP</v>
          </cell>
          <cell r="D16">
            <v>40</v>
          </cell>
          <cell r="F16">
            <v>22</v>
          </cell>
          <cell r="G16" t="str">
            <v>FR/SWA/ LSOH</v>
          </cell>
          <cell r="I16" t="str">
            <v>2 x 3c 10</v>
          </cell>
          <cell r="J16" t="str">
            <v>1c 10</v>
          </cell>
          <cell r="K16">
            <v>3.7333333333333329</v>
          </cell>
          <cell r="L16">
            <v>3.7333333333333329</v>
          </cell>
          <cell r="M16">
            <v>3.7333333333333329</v>
          </cell>
          <cell r="R16" t="str">
            <v>100mA ELCB + S/D STARTER</v>
          </cell>
        </row>
        <row r="17">
          <cell r="A17" t="str">
            <v>CEF-LG-1h</v>
          </cell>
          <cell r="B17" t="str">
            <v>TP</v>
          </cell>
          <cell r="D17">
            <v>40</v>
          </cell>
          <cell r="F17">
            <v>22</v>
          </cell>
          <cell r="G17" t="str">
            <v>FR/SWA/ LSOH</v>
          </cell>
          <cell r="I17" t="str">
            <v>2 x 3c 10</v>
          </cell>
          <cell r="J17" t="str">
            <v>1c 10</v>
          </cell>
          <cell r="K17">
            <v>3.7333333333333329</v>
          </cell>
          <cell r="L17">
            <v>3.7333333333333329</v>
          </cell>
          <cell r="M17">
            <v>3.7333333333333329</v>
          </cell>
          <cell r="R17" t="str">
            <v>100mA ELCB + S/D STARTER</v>
          </cell>
        </row>
        <row r="18">
          <cell r="A18" t="str">
            <v>CONTROLS</v>
          </cell>
          <cell r="B18" t="str">
            <v>SP</v>
          </cell>
          <cell r="D18">
            <v>10</v>
          </cell>
          <cell r="F18">
            <v>22</v>
          </cell>
          <cell r="G18" t="str">
            <v>FR/SWA/ LSOH</v>
          </cell>
          <cell r="I18" t="str">
            <v>2c 1.5</v>
          </cell>
          <cell r="K18">
            <v>0.5</v>
          </cell>
        </row>
        <row r="22">
          <cell r="A22" t="str">
            <v xml:space="preserve"> </v>
          </cell>
        </row>
        <row r="23">
          <cell r="A23" t="str">
            <v>CONNECTED TO :</v>
          </cell>
          <cell r="B23" t="str">
            <v>SBE-HC-LGM-1 SBE-MC-LG-1</v>
          </cell>
          <cell r="F23" t="str">
            <v>TOTAL CONNECTED LOAD PER PHASE</v>
          </cell>
          <cell r="K23">
            <v>30.366666666666667</v>
          </cell>
          <cell r="L23">
            <v>29.866666666666667</v>
          </cell>
          <cell r="M23">
            <v>29.866666666666667</v>
          </cell>
          <cell r="R23" t="str">
            <v>TOTAL</v>
          </cell>
        </row>
        <row r="26">
          <cell r="A26" t="str">
            <v xml:space="preserve">MAX. DEMAND (3 PH.):   </v>
          </cell>
          <cell r="B26">
            <v>90.1</v>
          </cell>
          <cell r="C26" t="str">
            <v>kW</v>
          </cell>
          <cell r="D26" t="str">
            <v xml:space="preserve">AT </v>
          </cell>
          <cell r="E26">
            <v>1</v>
          </cell>
          <cell r="F26" t="str">
            <v>DIVERSITY</v>
          </cell>
          <cell r="J26" t="str">
            <v xml:space="preserve">TOTAL CONNECTED LOAD(3 PH)   </v>
          </cell>
          <cell r="N26">
            <v>90.1</v>
          </cell>
          <cell r="O26" t="str">
            <v>kW</v>
          </cell>
        </row>
        <row r="29">
          <cell r="A29" t="str">
            <v>CONTRACTOR:</v>
          </cell>
          <cell r="K29" t="str">
            <v xml:space="preserve">TEL: </v>
          </cell>
          <cell r="O29" t="str">
            <v xml:space="preserve">FAX: </v>
          </cell>
        </row>
        <row r="31">
          <cell r="A31" t="str">
            <v>Type of Meter (Rating of Incomer):</v>
          </cell>
          <cell r="F31" t="str">
            <v>(1)  Upto 60A</v>
          </cell>
          <cell r="H31" t="str">
            <v>(2)  Upto 100 A</v>
          </cell>
          <cell r="K31" t="str">
            <v>(3)  125 - 160 A</v>
          </cell>
          <cell r="M31" t="str">
            <v>(4)  LV CT ..2500/5.......A</v>
          </cell>
          <cell r="Q31" t="str">
            <v>HV  CT .........../..........A</v>
          </cell>
        </row>
        <row r="32">
          <cell r="F32" t="str">
            <v xml:space="preserve">       (1 Phase)</v>
          </cell>
          <cell r="H32" t="str">
            <v xml:space="preserve">       (3 Phase)</v>
          </cell>
          <cell r="K32" t="str">
            <v xml:space="preserve">       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MCP-DX-R-G-1"/>
      <sheetName val="LMCP-DX-R-LGM-6"/>
      <sheetName val="LMCP-DX-R-LGM-5"/>
      <sheetName val="LMCP-DX-R-LGM-4"/>
      <sheetName val="LMCP-DX-R-LGM-3"/>
      <sheetName val="LMCP-DX-R-LGM-2"/>
      <sheetName val="LMCP-DX-R-LGM-1"/>
      <sheetName val="LMCP-DX-R-LG-1"/>
      <sheetName val="LMCP-DX-R-B1-1"/>
      <sheetName val="SBE-MC-LGM-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1">
          <cell r="A1" t="str">
            <v>PROJECT: DUBAI MARINA MALL AND HOTEL/APARTMENT</v>
          </cell>
          <cell r="I1" t="str">
            <v>DETAILS OF CONNECTED LOAD/ MAX. DEMAND</v>
          </cell>
        </row>
        <row r="2">
          <cell r="I2" t="str">
            <v>OWNER:</v>
          </cell>
          <cell r="J2" t="str">
            <v>EMAAR PROPERTIES PSJC</v>
          </cell>
          <cell r="O2" t="str">
            <v>AREA:</v>
          </cell>
          <cell r="Q2" t="str">
            <v>DUBAI,UNITED ARAB EMIRATES</v>
          </cell>
        </row>
        <row r="3">
          <cell r="E3" t="str">
            <v xml:space="preserve"> </v>
          </cell>
          <cell r="O3" t="str">
            <v xml:space="preserve"> LOCATION OF SB: </v>
          </cell>
          <cell r="R3" t="str">
            <v>RETAIL MALL/LGM</v>
          </cell>
        </row>
        <row r="4">
          <cell r="A4" t="str">
            <v xml:space="preserve">MDB / SMDB </v>
          </cell>
          <cell r="B4" t="str">
            <v>SBE-MC-LGM-3(S/B)</v>
          </cell>
          <cell r="I4" t="str">
            <v>CONSULTANT:MEINHARDT SINGAPORE PTE LTD.</v>
          </cell>
        </row>
        <row r="6">
          <cell r="A6" t="str">
            <v>CIRCUIT/</v>
          </cell>
          <cell r="B6" t="str">
            <v>SP/</v>
          </cell>
          <cell r="C6" t="str">
            <v>RATING - AMPS</v>
          </cell>
          <cell r="F6" t="str">
            <v>Isc FAULT</v>
          </cell>
          <cell r="G6" t="str">
            <v>FR or
XLPE</v>
          </cell>
          <cell r="H6" t="str">
            <v>CABLE SIZE</v>
          </cell>
          <cell r="J6" t="str">
            <v>ECC
SIZE-</v>
          </cell>
          <cell r="K6" t="str">
            <v>CONNECTED LOAD - KW</v>
          </cell>
          <cell r="N6" t="str">
            <v>PROPOSED TYPE &amp; NO. OF
KWH METERS</v>
          </cell>
        </row>
        <row r="7">
          <cell r="A7" t="str">
            <v>FEEDER
DB No.</v>
          </cell>
          <cell r="B7" t="str">
            <v>TP</v>
          </cell>
          <cell r="C7" t="str">
            <v>F/S
ISO</v>
          </cell>
          <cell r="D7" t="str">
            <v>MCCB</v>
          </cell>
          <cell r="E7" t="str">
            <v>MCB</v>
          </cell>
          <cell r="F7" t="str">
            <v>DUTY
KA</v>
          </cell>
          <cell r="G7" t="str">
            <v>SWA/
LS0H</v>
          </cell>
          <cell r="H7" t="str">
            <v>2/4 X1C
mm^2</v>
          </cell>
          <cell r="I7" t="str">
            <v>2/3/4C
mm^2</v>
          </cell>
          <cell r="J7" t="str">
            <v>1c
mm^2</v>
          </cell>
          <cell r="K7" t="str">
            <v>R-PH
KW</v>
          </cell>
          <cell r="L7" t="str">
            <v>Y-PH
KW</v>
          </cell>
          <cell r="M7" t="str">
            <v>B-PH
KW</v>
          </cell>
          <cell r="N7" t="str">
            <v>1 - PH
(1)</v>
          </cell>
          <cell r="O7" t="str">
            <v>3 - PH
(2)</v>
          </cell>
          <cell r="P7" t="str">
            <v>3 - PH
(3)</v>
          </cell>
          <cell r="Q7" t="str">
            <v>LV/H
CT (4)</v>
          </cell>
          <cell r="R7" t="str">
            <v>REMARKS</v>
          </cell>
        </row>
        <row r="8">
          <cell r="A8" t="str">
            <v>INCOMER (NON AUTO)</v>
          </cell>
          <cell r="B8" t="str">
            <v>TP</v>
          </cell>
          <cell r="D8">
            <v>100</v>
          </cell>
          <cell r="F8">
            <v>50</v>
          </cell>
          <cell r="G8" t="str">
            <v>FR/SWA/ LSOH</v>
          </cell>
          <cell r="I8" t="str">
            <v>4c 35</v>
          </cell>
          <cell r="J8" t="str">
            <v>1c 25</v>
          </cell>
          <cell r="K8">
            <v>33.290000000000006</v>
          </cell>
          <cell r="L8">
            <v>31.290000000000003</v>
          </cell>
          <cell r="M8">
            <v>30.790000000000003</v>
          </cell>
        </row>
        <row r="9">
          <cell r="A9" t="str">
            <v>OUTGOING</v>
          </cell>
        </row>
        <row r="10">
          <cell r="A10" t="str">
            <v>I-LMCP-DX-R-B1-1(S/B)</v>
          </cell>
          <cell r="B10" t="str">
            <v>TP</v>
          </cell>
          <cell r="D10">
            <v>20</v>
          </cell>
          <cell r="F10">
            <v>22</v>
          </cell>
          <cell r="G10" t="str">
            <v>FR/SWA/ LSOH</v>
          </cell>
          <cell r="I10" t="str">
            <v>4c 4</v>
          </cell>
          <cell r="J10" t="str">
            <v>1c 4</v>
          </cell>
          <cell r="K10">
            <v>2.33</v>
          </cell>
          <cell r="L10">
            <v>1.83</v>
          </cell>
          <cell r="M10">
            <v>1.83</v>
          </cell>
        </row>
        <row r="11">
          <cell r="A11" t="str">
            <v>I-LMCP-DX-R-LG-1(S/B)</v>
          </cell>
          <cell r="B11" t="str">
            <v>TP</v>
          </cell>
          <cell r="D11">
            <v>100</v>
          </cell>
          <cell r="F11">
            <v>50</v>
          </cell>
          <cell r="G11" t="str">
            <v>FR/SWA/ LSOH</v>
          </cell>
          <cell r="I11" t="str">
            <v>4c 35</v>
          </cell>
          <cell r="J11" t="str">
            <v>1c 16</v>
          </cell>
          <cell r="K11">
            <v>12.5</v>
          </cell>
          <cell r="L11">
            <v>13</v>
          </cell>
          <cell r="M11">
            <v>12.5</v>
          </cell>
        </row>
        <row r="12">
          <cell r="A12" t="str">
            <v>I-LMCP-DX-R-LGM-1(S/B)</v>
          </cell>
          <cell r="B12" t="str">
            <v>SP/</v>
          </cell>
          <cell r="D12">
            <v>20</v>
          </cell>
          <cell r="F12">
            <v>22</v>
          </cell>
          <cell r="G12" t="str">
            <v>FR/SWA/ LSOH</v>
          </cell>
          <cell r="I12" t="str">
            <v>2c 4</v>
          </cell>
          <cell r="J12" t="str">
            <v>1c 4</v>
          </cell>
          <cell r="K12">
            <v>2</v>
          </cell>
        </row>
        <row r="13">
          <cell r="A13" t="str">
            <v>I-LMCP-DX-R-LGM-2(S/B)</v>
          </cell>
          <cell r="B13" t="str">
            <v>TP</v>
          </cell>
          <cell r="D13">
            <v>20</v>
          </cell>
          <cell r="F13">
            <v>22</v>
          </cell>
          <cell r="G13" t="str">
            <v>FR/SWA/ LSOH</v>
          </cell>
          <cell r="I13" t="str">
            <v>4c 4</v>
          </cell>
          <cell r="J13" t="str">
            <v>1c 4</v>
          </cell>
          <cell r="K13">
            <v>0.73</v>
          </cell>
          <cell r="L13">
            <v>1.23</v>
          </cell>
          <cell r="M13">
            <v>0.73</v>
          </cell>
        </row>
        <row r="14">
          <cell r="A14" t="str">
            <v>I-LMCP-DX-R-LGM-3(S/B)</v>
          </cell>
          <cell r="B14" t="str">
            <v>TP</v>
          </cell>
          <cell r="D14">
            <v>20</v>
          </cell>
          <cell r="F14">
            <v>22</v>
          </cell>
          <cell r="G14" t="str">
            <v>FR/SWA/ LSOH</v>
          </cell>
          <cell r="I14" t="str">
            <v>4c 4</v>
          </cell>
          <cell r="J14" t="str">
            <v>1c 4</v>
          </cell>
          <cell r="K14">
            <v>1.33</v>
          </cell>
          <cell r="L14">
            <v>1.33</v>
          </cell>
          <cell r="M14">
            <v>1.83</v>
          </cell>
        </row>
        <row r="15">
          <cell r="A15" t="str">
            <v>I-LMCP-DX-R-LGM-4(S/B)</v>
          </cell>
          <cell r="B15" t="str">
            <v>TP</v>
          </cell>
          <cell r="D15">
            <v>63</v>
          </cell>
          <cell r="F15">
            <v>36</v>
          </cell>
          <cell r="G15" t="str">
            <v>FR/SWA/ LSOH</v>
          </cell>
          <cell r="I15" t="str">
            <v>4c 16</v>
          </cell>
          <cell r="J15" t="str">
            <v>1c 16</v>
          </cell>
          <cell r="K15">
            <v>8</v>
          </cell>
          <cell r="L15">
            <v>7.5</v>
          </cell>
          <cell r="M15">
            <v>7.5</v>
          </cell>
        </row>
        <row r="16">
          <cell r="A16" t="str">
            <v>I-LMCP-DX-R-LGM-5(S/B)</v>
          </cell>
          <cell r="B16" t="str">
            <v>TP</v>
          </cell>
          <cell r="D16">
            <v>32</v>
          </cell>
          <cell r="F16">
            <v>36</v>
          </cell>
          <cell r="G16" t="str">
            <v>FR/SWA/ LSOH</v>
          </cell>
          <cell r="I16" t="str">
            <v>4c 6</v>
          </cell>
          <cell r="J16" t="str">
            <v>1c 6</v>
          </cell>
          <cell r="K16">
            <v>2.67</v>
          </cell>
          <cell r="L16">
            <v>3.17</v>
          </cell>
          <cell r="M16">
            <v>2.67</v>
          </cell>
        </row>
        <row r="17">
          <cell r="A17" t="str">
            <v>I-LMCP-DX-R-LGM-6(S/B)</v>
          </cell>
          <cell r="B17" t="str">
            <v>TP</v>
          </cell>
          <cell r="D17">
            <v>20</v>
          </cell>
          <cell r="F17">
            <v>22</v>
          </cell>
          <cell r="G17" t="str">
            <v>FR/SWA/ LSOH</v>
          </cell>
          <cell r="I17" t="str">
            <v>4c 4</v>
          </cell>
          <cell r="J17" t="str">
            <v>1c 4</v>
          </cell>
          <cell r="K17">
            <v>0.73</v>
          </cell>
          <cell r="L17">
            <v>0.73</v>
          </cell>
          <cell r="M17">
            <v>1.23</v>
          </cell>
        </row>
        <row r="18">
          <cell r="A18" t="str">
            <v>I-LMCP-DX-R-G-1(S/B)</v>
          </cell>
          <cell r="B18" t="str">
            <v>TP</v>
          </cell>
          <cell r="D18">
            <v>32</v>
          </cell>
          <cell r="F18">
            <v>36</v>
          </cell>
          <cell r="G18" t="str">
            <v>FR/SWA/ LSOH</v>
          </cell>
          <cell r="I18" t="str">
            <v>4c 6</v>
          </cell>
          <cell r="J18" t="str">
            <v>1c 6</v>
          </cell>
          <cell r="K18">
            <v>3</v>
          </cell>
          <cell r="L18">
            <v>2.5</v>
          </cell>
          <cell r="M18">
            <v>2.5</v>
          </cell>
        </row>
        <row r="23">
          <cell r="A23" t="str">
            <v xml:space="preserve"> </v>
          </cell>
        </row>
        <row r="24">
          <cell r="A24" t="str">
            <v>CONNECTED TO :</v>
          </cell>
          <cell r="B24" t="str">
            <v>SBE-M-B2-1</v>
          </cell>
          <cell r="F24" t="str">
            <v>TOTAL CONNECTED LOAD PER PHASE</v>
          </cell>
          <cell r="K24">
            <v>33.290000000000006</v>
          </cell>
          <cell r="L24">
            <v>31.290000000000003</v>
          </cell>
          <cell r="M24">
            <v>30.790000000000003</v>
          </cell>
          <cell r="R24" t="str">
            <v>TOTAL</v>
          </cell>
        </row>
        <row r="27">
          <cell r="A27" t="str">
            <v xml:space="preserve">MAX. DEMAND (3 PH.):   </v>
          </cell>
          <cell r="B27">
            <v>85.833000000000013</v>
          </cell>
          <cell r="C27" t="str">
            <v>kW</v>
          </cell>
          <cell r="D27" t="str">
            <v xml:space="preserve">AT </v>
          </cell>
          <cell r="E27">
            <v>0.9</v>
          </cell>
          <cell r="F27" t="str">
            <v>DIVERSITY</v>
          </cell>
          <cell r="J27" t="str">
            <v xml:space="preserve">TOTAL CONNECTED LOAD(3 PH)   </v>
          </cell>
          <cell r="N27">
            <v>95.370000000000019</v>
          </cell>
          <cell r="O27" t="str">
            <v>kW</v>
          </cell>
        </row>
        <row r="30">
          <cell r="A30" t="str">
            <v>CONTRACTOR:</v>
          </cell>
          <cell r="K30" t="str">
            <v xml:space="preserve">TEL: </v>
          </cell>
          <cell r="O30" t="str">
            <v xml:space="preserve">FAX: </v>
          </cell>
        </row>
        <row r="32">
          <cell r="A32" t="str">
            <v>Type of Meter (Rating of Incomer):</v>
          </cell>
          <cell r="F32" t="str">
            <v>(1)  Upto 60A</v>
          </cell>
          <cell r="H32" t="str">
            <v>(2)  Upto 100 A</v>
          </cell>
          <cell r="K32" t="str">
            <v>(3)  125 - 160 A</v>
          </cell>
          <cell r="M32" t="str">
            <v>(4)  LV CT ..2500/5.......A</v>
          </cell>
          <cell r="Q32" t="str">
            <v>HV  CT .........../..........A</v>
          </cell>
        </row>
        <row r="33">
          <cell r="F33" t="str">
            <v xml:space="preserve">       (1 Phase)</v>
          </cell>
          <cell r="H33" t="str">
            <v xml:space="preserve">       (3 Phase)</v>
          </cell>
          <cell r="K33" t="str">
            <v xml:space="preserve">       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-MC-LGM-1B"/>
      <sheetName val="DB-MC-LGM-1A"/>
      <sheetName val="DB-MC-LGM-2A"/>
      <sheetName val="DB-MC-LG-1B"/>
      <sheetName val="DB-MC-LG-1A"/>
      <sheetName val="SB_MC_LG_1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">
          <cell r="A1" t="str">
            <v>PROJECT: DUBAI MARINA MALL &amp; HOTEL/APARTMENT</v>
          </cell>
          <cell r="I1" t="str">
            <v>DETAILS OF CONNECTED LOAD/ MAX. DEMAND</v>
          </cell>
        </row>
        <row r="2">
          <cell r="I2" t="str">
            <v>OWNER:</v>
          </cell>
          <cell r="J2" t="str">
            <v>EMAAR PROPERTIES PSJC</v>
          </cell>
          <cell r="O2" t="str">
            <v>AREA:</v>
          </cell>
          <cell r="Q2" t="str">
            <v>DUBAI,UNITED ARAB EMIRATES</v>
          </cell>
        </row>
        <row r="3">
          <cell r="E3" t="str">
            <v xml:space="preserve"> </v>
          </cell>
          <cell r="O3" t="str">
            <v xml:space="preserve"> LOCATION OF MCP: </v>
          </cell>
          <cell r="R3" t="str">
            <v>LOWER GROUND FLOOR</v>
          </cell>
        </row>
        <row r="4">
          <cell r="A4" t="str">
            <v xml:space="preserve">MDB / SMDB </v>
          </cell>
          <cell r="B4" t="str">
            <v>SB-MC-LG-1</v>
          </cell>
          <cell r="I4" t="str">
            <v>CONSULTANT:MEINHARDT SINGAPORE PTE LTD.</v>
          </cell>
        </row>
        <row r="6">
          <cell r="A6" t="str">
            <v>CIRCUIT/</v>
          </cell>
          <cell r="B6" t="str">
            <v>SP/</v>
          </cell>
          <cell r="C6" t="str">
            <v>RATING - AMPS</v>
          </cell>
          <cell r="F6" t="str">
            <v>Isc FAULT</v>
          </cell>
          <cell r="G6" t="str">
            <v>FR or
XLPE</v>
          </cell>
          <cell r="H6" t="str">
            <v>CABLE SIZE</v>
          </cell>
          <cell r="J6" t="str">
            <v>ECC
SIZE-</v>
          </cell>
          <cell r="K6" t="str">
            <v>CONNECTED LOAD - KW</v>
          </cell>
          <cell r="N6" t="str">
            <v>PROPOSED TYPE &amp; NO. OF
KWH METERS</v>
          </cell>
        </row>
        <row r="7">
          <cell r="A7" t="str">
            <v>FEEDER
DB No.</v>
          </cell>
          <cell r="B7" t="str">
            <v>TP</v>
          </cell>
          <cell r="C7" t="str">
            <v>F/S
ISO</v>
          </cell>
          <cell r="D7" t="str">
            <v>MCCB</v>
          </cell>
          <cell r="E7" t="str">
            <v>MCB</v>
          </cell>
          <cell r="F7" t="str">
            <v>DUTY
KA</v>
          </cell>
          <cell r="G7" t="str">
            <v>SWA/
LS0H</v>
          </cell>
          <cell r="H7" t="str">
            <v>2/4 X1C
mm^2</v>
          </cell>
          <cell r="I7" t="str">
            <v>2/3/4C
mm^2</v>
          </cell>
          <cell r="J7" t="str">
            <v>1c
mm^2</v>
          </cell>
          <cell r="K7" t="str">
            <v>R-PH
KW</v>
          </cell>
          <cell r="L7" t="str">
            <v>Y-PH
KW</v>
          </cell>
          <cell r="M7" t="str">
            <v>B-PH
KW</v>
          </cell>
          <cell r="N7" t="str">
            <v>1 - PH
(1)</v>
          </cell>
          <cell r="O7" t="str">
            <v>3 - PH
(2)</v>
          </cell>
          <cell r="P7" t="str">
            <v>3 - PH
(3)</v>
          </cell>
          <cell r="Q7" t="str">
            <v>LV/H
CT (4)</v>
          </cell>
          <cell r="R7" t="str">
            <v>REMARKS</v>
          </cell>
        </row>
        <row r="8">
          <cell r="A8" t="str">
            <v>INCOMER (NON AUTO)</v>
          </cell>
          <cell r="B8" t="str">
            <v>TP</v>
          </cell>
          <cell r="D8">
            <v>250</v>
          </cell>
          <cell r="F8">
            <v>50</v>
          </cell>
          <cell r="G8" t="str">
            <v>FR/SWA/ LSOH</v>
          </cell>
          <cell r="I8" t="str">
            <v>4c 240</v>
          </cell>
          <cell r="J8" t="str">
            <v>1c 120</v>
          </cell>
          <cell r="K8">
            <v>35.820000000000007</v>
          </cell>
          <cell r="L8">
            <v>33.549999999999997</v>
          </cell>
          <cell r="M8">
            <v>30.12</v>
          </cell>
        </row>
        <row r="9">
          <cell r="A9" t="str">
            <v>OUTGOING</v>
          </cell>
        </row>
        <row r="10">
          <cell r="A10" t="str">
            <v>DB-MC-LG-1A</v>
          </cell>
          <cell r="B10" t="str">
            <v>TP</v>
          </cell>
          <cell r="D10">
            <v>63</v>
          </cell>
          <cell r="F10">
            <v>36</v>
          </cell>
          <cell r="G10" t="str">
            <v>XLPE/SWA/ LSOH</v>
          </cell>
          <cell r="I10" t="str">
            <v>4c 25</v>
          </cell>
          <cell r="J10" t="str">
            <v>1c 16</v>
          </cell>
          <cell r="K10">
            <v>6.19</v>
          </cell>
          <cell r="L10">
            <v>4.97</v>
          </cell>
          <cell r="M10">
            <v>5.4</v>
          </cell>
        </row>
        <row r="11">
          <cell r="A11" t="str">
            <v>DB-MC-LG-1B</v>
          </cell>
          <cell r="B11" t="str">
            <v>TP</v>
          </cell>
          <cell r="D11">
            <v>32</v>
          </cell>
          <cell r="F11">
            <v>36</v>
          </cell>
          <cell r="G11" t="str">
            <v>XLPE/SWA/ LSOH</v>
          </cell>
          <cell r="I11" t="str">
            <v>4c  6</v>
          </cell>
          <cell r="J11" t="str">
            <v>1c 6</v>
          </cell>
          <cell r="K11">
            <v>6.03</v>
          </cell>
          <cell r="L11">
            <v>5.08</v>
          </cell>
          <cell r="M11">
            <v>5.07</v>
          </cell>
        </row>
        <row r="12">
          <cell r="A12" t="str">
            <v>DB-MC-LGM-1A</v>
          </cell>
          <cell r="B12" t="str">
            <v>TP</v>
          </cell>
          <cell r="D12">
            <v>32</v>
          </cell>
          <cell r="F12">
            <v>36</v>
          </cell>
          <cell r="G12" t="str">
            <v>XLPE/SWA/ LSOH</v>
          </cell>
          <cell r="I12" t="str">
            <v>4c 25</v>
          </cell>
          <cell r="J12" t="str">
            <v>1c 16</v>
          </cell>
          <cell r="K12">
            <v>8.8000000000000007</v>
          </cell>
          <cell r="L12">
            <v>9.6999999999999993</v>
          </cell>
          <cell r="M12">
            <v>5.45</v>
          </cell>
        </row>
        <row r="13">
          <cell r="A13" t="str">
            <v>DB-MC-LGM-1B</v>
          </cell>
          <cell r="B13" t="str">
            <v>TP</v>
          </cell>
          <cell r="D13">
            <v>32</v>
          </cell>
          <cell r="F13">
            <v>36</v>
          </cell>
          <cell r="G13" t="str">
            <v>XLPE/SWA/ LSOH</v>
          </cell>
          <cell r="I13" t="str">
            <v>4c 25</v>
          </cell>
          <cell r="J13" t="str">
            <v>1c 16</v>
          </cell>
          <cell r="K13">
            <v>6.1</v>
          </cell>
          <cell r="L13">
            <v>4.9000000000000004</v>
          </cell>
          <cell r="M13">
            <v>5.4</v>
          </cell>
        </row>
        <row r="14">
          <cell r="A14" t="str">
            <v>DB-MC-LGM-2A</v>
          </cell>
          <cell r="B14" t="str">
            <v>TP</v>
          </cell>
          <cell r="D14">
            <v>32</v>
          </cell>
          <cell r="F14">
            <v>36</v>
          </cell>
          <cell r="G14" t="str">
            <v>XLPE/SWA/ LSOH</v>
          </cell>
          <cell r="I14" t="str">
            <v>4c 25</v>
          </cell>
          <cell r="J14" t="str">
            <v>1c 16</v>
          </cell>
          <cell r="K14">
            <v>8.6999999999999993</v>
          </cell>
          <cell r="L14">
            <v>8.9</v>
          </cell>
          <cell r="M14">
            <v>8.8000000000000007</v>
          </cell>
        </row>
        <row r="21">
          <cell r="A21" t="str">
            <v xml:space="preserve"> </v>
          </cell>
        </row>
        <row r="22">
          <cell r="A22" t="str">
            <v xml:space="preserve">CONNECTED TO : </v>
          </cell>
          <cell r="B22" t="str">
            <v>MSB-M-11</v>
          </cell>
          <cell r="F22" t="str">
            <v>TOTAL CONNECTED LOAD PER PHASE</v>
          </cell>
          <cell r="K22">
            <v>35.820000000000007</v>
          </cell>
          <cell r="L22">
            <v>33.549999999999997</v>
          </cell>
          <cell r="M22">
            <v>30.12</v>
          </cell>
          <cell r="R22" t="str">
            <v>TOTAL</v>
          </cell>
        </row>
        <row r="25">
          <cell r="A25" t="str">
            <v xml:space="preserve">MAX. DEMAND (3 PH.):   </v>
          </cell>
          <cell r="B25">
            <v>89.541000000000011</v>
          </cell>
          <cell r="C25" t="str">
            <v>kW</v>
          </cell>
          <cell r="D25" t="str">
            <v xml:space="preserve">AT </v>
          </cell>
          <cell r="E25">
            <v>0.9</v>
          </cell>
          <cell r="F25" t="str">
            <v>DIVERSITY</v>
          </cell>
          <cell r="J25" t="str">
            <v xml:space="preserve">TOTAL CONNECTED LOAD(3 PH)   </v>
          </cell>
          <cell r="N25">
            <v>99.490000000000009</v>
          </cell>
          <cell r="O25" t="str">
            <v>kW</v>
          </cell>
        </row>
        <row r="28">
          <cell r="A28" t="str">
            <v>CONTRACTOR:</v>
          </cell>
          <cell r="K28" t="str">
            <v xml:space="preserve">TEL: </v>
          </cell>
          <cell r="O28" t="str">
            <v xml:space="preserve">FAX: </v>
          </cell>
        </row>
        <row r="30">
          <cell r="A30" t="str">
            <v>Type of Meter (Rating of Incomer):</v>
          </cell>
          <cell r="F30" t="str">
            <v>(1)  Upto 60A</v>
          </cell>
          <cell r="H30" t="str">
            <v>(2)  Upto 100 A</v>
          </cell>
          <cell r="K30" t="str">
            <v>(3)  125 - 160 A</v>
          </cell>
          <cell r="M30" t="str">
            <v>(4)  LV CT ..2500/5.......A</v>
          </cell>
          <cell r="Q30" t="str">
            <v>HV  CT .........../..........A</v>
          </cell>
        </row>
        <row r="31">
          <cell r="F31" t="str">
            <v xml:space="preserve">       (1 Phase)</v>
          </cell>
          <cell r="H31" t="str">
            <v xml:space="preserve">       (3 Phase)</v>
          </cell>
          <cell r="K31" t="str">
            <v xml:space="preserve">       </v>
          </cell>
        </row>
      </sheetData>
      <sheetData sheetId="6" refreshError="1"/>
      <sheetData sheetId="7" refreshError="1"/>
      <sheetData sheetId="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SB_H_COVER"/>
      <sheetName val="LVSB_H_3"/>
      <sheetName val="MSB_H_3"/>
      <sheetName val="SBE_HC_LGM_1"/>
      <sheetName val="LMCP_CEF_B2_3"/>
      <sheetName val="LMCP_CEF_B1_3"/>
      <sheetName val="LMCP_CEF_LG_2"/>
      <sheetName val="LMCP_CEF_LGM_2 "/>
      <sheetName val="LMCP_CSF_LG_3"/>
      <sheetName val="LMCP_CSF_LGM_3"/>
      <sheetName val="SBE_H_10_1"/>
      <sheetName val="DBE_H_10_1_1_"/>
      <sheetName val="DBE_H_10_1_2_"/>
      <sheetName val="DBE_H_10_2_1_"/>
      <sheetName val="DBE_H_10_2_2_"/>
      <sheetName val="DBE_H_11_1_1_"/>
      <sheetName val="DBE_H_11_1_2_"/>
      <sheetName val="DBE_H_11_2_1_"/>
      <sheetName val="DBE_H_11_2_2_"/>
      <sheetName val="DBE_H_12_1 _1_"/>
      <sheetName val="DBE_H_12_1 _2_"/>
      <sheetName val="CBS_H_12_1_"/>
      <sheetName val="DBE_H_12_2_1_"/>
      <sheetName val="DBE_H_12_2_2_"/>
      <sheetName val="DBE_H_13_1 _1_"/>
      <sheetName val="DBE_H_13_1 _2_"/>
      <sheetName val="DBE_H_13_2 _1_"/>
      <sheetName val="DBE_H_13_2 _2_"/>
      <sheetName val="DBE_H_13M_1 _1_"/>
      <sheetName val="DBE_H_13M_1 _2_"/>
      <sheetName val="DB_HA_14_EXT_1 _1_"/>
      <sheetName val="DB_HA_14_EXT_1 _2_"/>
      <sheetName val="DB_HA_14_EXT_2 _1_"/>
      <sheetName val="DB_HA_14_EXT_2 _2_"/>
      <sheetName val="SBE_H_5_1"/>
      <sheetName val="DBE_H_5_1 _1_"/>
      <sheetName val="DBE_H_5_1 _2_"/>
      <sheetName val="DBE_H_6_1 _1_"/>
      <sheetName val="DBE_H_6_1 _2_"/>
      <sheetName val="CBS_H_6_1_"/>
      <sheetName val="DBE_H_6_2 _1_"/>
      <sheetName val="DBE_H_6_2 _2_"/>
      <sheetName val="DBE_H_7_1 _1_"/>
      <sheetName val="DBE_H_7_1 _2_"/>
      <sheetName val="DBE_H_7_2 _1_"/>
      <sheetName val="DBE_H_7_2 _2_"/>
      <sheetName val="DBE_H_7_3_1_"/>
      <sheetName val="DBE_H_7_3_2_"/>
      <sheetName val="DBE_H_7_3_3_"/>
      <sheetName val="DBE_H_8_1 _1_"/>
      <sheetName val="DBE_H_8_1 _2_"/>
      <sheetName val="DBE_H_8_2 _1_"/>
      <sheetName val="DBE_H_8_2 _2_"/>
      <sheetName val="DBE_H_9_1 _1_"/>
      <sheetName val="DBE_H_9_1 _2_"/>
      <sheetName val="CBS_H_9_1_"/>
      <sheetName val="DBE_H_9_2_1_"/>
      <sheetName val="DBE_H_9_2_2_"/>
      <sheetName val="LMCP_DX_FCU_H_5_1"/>
      <sheetName val="SBE_H_G_4"/>
      <sheetName val="DBE_H_G_1_1_"/>
      <sheetName val="CBS_H_G _1_"/>
      <sheetName val="CBS_H_G _2_"/>
      <sheetName val="DBE_H_1_1_1_"/>
      <sheetName val="DBE_H_2_1_1_"/>
      <sheetName val="DBE_H_2_1_2_"/>
      <sheetName val="DBE_H_2_1_3_"/>
      <sheetName val="DBE_H_3_1_1_"/>
      <sheetName val="DBE_H_3_1_2_"/>
      <sheetName val="DBE_H_3_1_3_"/>
      <sheetName val="CBS_H_3_1_"/>
      <sheetName val="CBS_H_3_2_"/>
      <sheetName val="DBE_H_4_1_1_"/>
      <sheetName val="SBE_H_LGM_2"/>
      <sheetName val="DBE_H_B2_1_1_"/>
      <sheetName val="DBE_H_B2_1_2_"/>
      <sheetName val="DBE_H_B1_1_1_"/>
      <sheetName val="DBE_H_B1_1_2_"/>
      <sheetName val="CBS_H_B1 _1_"/>
      <sheetName val="CBS_H_B1 _2_"/>
      <sheetName val="CBS_HC_B1_1_"/>
      <sheetName val="CBS_HC_B1_2_"/>
      <sheetName val="DBE_H_LG_1_1_"/>
      <sheetName val="DBE_H_LG_1_2_"/>
      <sheetName val="DBE_H_LGM_1_1_"/>
      <sheetName val="DBE_H_LGM_1_2_"/>
      <sheetName val="SBE_H_G_3_(FCC)_"/>
      <sheetName val="LMCP_DX_FCU_H_G_1"/>
      <sheetName val="LMCP_DX_FCU_H_LG_1"/>
      <sheetName val="LMCP_DX_FCU_H_LG_2"/>
      <sheetName val="LMCP_DX_FCU_H_LGM_1"/>
      <sheetName val="LMCP_DX_FCU_H_LGM_2"/>
      <sheetName val="LMCP_DX_FCU_H_LGM_3"/>
      <sheetName val="LMCP_DX_FCU_H_LGM_4"/>
      <sheetName val="LMCP_DX_FCU_H_LGM_5"/>
      <sheetName val="SBE_H_LG_2"/>
      <sheetName val="SBE_H_13M_1"/>
      <sheetName val="LMCP_SEF_H_13M_1"/>
      <sheetName val="LMCP_SEF_H_13M_2"/>
      <sheetName val="LMCP_SPF_H_13M_1"/>
      <sheetName val="LMCP_LPF_H_13M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A1" t="str">
            <v>PROJECT: DUBAI MARINA MALL &amp; HOTEL/APARTMENTS</v>
          </cell>
          <cell r="I1" t="str">
            <v>DETAILS OF CONNECTED LOAD/ MAX. DEMAND</v>
          </cell>
        </row>
        <row r="2">
          <cell r="I2" t="str">
            <v>OWNER:</v>
          </cell>
          <cell r="J2" t="str">
            <v>EMAAR PROPERTIES PSJC</v>
          </cell>
          <cell r="O2" t="str">
            <v>AREA:</v>
          </cell>
          <cell r="Q2" t="str">
            <v>DUBAI,UNITED ARAB EMIRATES</v>
          </cell>
        </row>
        <row r="3">
          <cell r="E3" t="str">
            <v xml:space="preserve"> </v>
          </cell>
          <cell r="O3" t="str">
            <v xml:space="preserve"> LOCATION OF MCP: </v>
          </cell>
          <cell r="R3" t="str">
            <v>LOWER GROUND FLOOR</v>
          </cell>
        </row>
        <row r="4">
          <cell r="A4" t="str">
            <v xml:space="preserve">MDB / SMDB </v>
          </cell>
          <cell r="B4" t="str">
            <v>LMCP-CEF-LG-2</v>
          </cell>
          <cell r="I4" t="str">
            <v>CONSULTANT:MEINHARDT SINGAPORE PTE LTD.</v>
          </cell>
        </row>
        <row r="6">
          <cell r="A6" t="str">
            <v>CIRCUIT/</v>
          </cell>
          <cell r="B6" t="str">
            <v>SP/</v>
          </cell>
          <cell r="C6" t="str">
            <v>RATING - AMPS</v>
          </cell>
          <cell r="F6" t="str">
            <v>Isc FAULT</v>
          </cell>
          <cell r="G6" t="str">
            <v>FR or
XLPE</v>
          </cell>
          <cell r="H6" t="str">
            <v>CABLE SIZE</v>
          </cell>
          <cell r="J6" t="str">
            <v>ECC
SIZE-</v>
          </cell>
          <cell r="K6" t="str">
            <v>CONNECTED LOAD - KW</v>
          </cell>
          <cell r="N6" t="str">
            <v>PROPOSED TYPE &amp; NO. OF
KWH METERS</v>
          </cell>
        </row>
        <row r="7">
          <cell r="A7" t="str">
            <v>FEEDER
DB No.</v>
          </cell>
          <cell r="B7" t="str">
            <v>TP</v>
          </cell>
          <cell r="C7" t="str">
            <v>F/S
ISO</v>
          </cell>
          <cell r="D7" t="str">
            <v>MCCB</v>
          </cell>
          <cell r="E7" t="str">
            <v>MCB</v>
          </cell>
          <cell r="F7" t="str">
            <v>DUTY
KA</v>
          </cell>
          <cell r="G7" t="str">
            <v>SWA/
LS0H</v>
          </cell>
          <cell r="H7" t="str">
            <v>2/4 X1C
mm^2</v>
          </cell>
          <cell r="I7" t="str">
            <v>2/3/4C
mm^2</v>
          </cell>
          <cell r="J7" t="str">
            <v>1c
mm^2</v>
          </cell>
          <cell r="K7" t="str">
            <v>R-PH
KW</v>
          </cell>
          <cell r="L7" t="str">
            <v>Y-PH
KW</v>
          </cell>
          <cell r="M7" t="str">
            <v>B-PH
KW</v>
          </cell>
          <cell r="N7" t="str">
            <v>1 - PH
(1)</v>
          </cell>
          <cell r="O7" t="str">
            <v>3 - PH
(2)</v>
          </cell>
          <cell r="P7" t="str">
            <v>3 - PH
(3)</v>
          </cell>
          <cell r="Q7" t="str">
            <v>LV/H
CT (4)</v>
          </cell>
          <cell r="R7" t="str">
            <v>REMARKS</v>
          </cell>
        </row>
        <row r="8">
          <cell r="A8" t="str">
            <v>INCOMER (NON AUTO)</v>
          </cell>
          <cell r="B8" t="str">
            <v>TP</v>
          </cell>
          <cell r="D8">
            <v>63</v>
          </cell>
          <cell r="F8">
            <v>22</v>
          </cell>
          <cell r="G8" t="str">
            <v>FR/SWA/ LSOH</v>
          </cell>
          <cell r="I8" t="str">
            <v>4c 16</v>
          </cell>
          <cell r="J8" t="str">
            <v>1c 16</v>
          </cell>
          <cell r="K8">
            <v>8.966666666666665</v>
          </cell>
          <cell r="L8">
            <v>7.4666666666666659</v>
          </cell>
          <cell r="M8">
            <v>7.4666666666666659</v>
          </cell>
        </row>
        <row r="9">
          <cell r="A9" t="str">
            <v>OUTGOING</v>
          </cell>
        </row>
        <row r="10">
          <cell r="A10" t="str">
            <v>CEF-LG-2a</v>
          </cell>
          <cell r="B10" t="str">
            <v>TP</v>
          </cell>
          <cell r="D10">
            <v>40</v>
          </cell>
          <cell r="F10">
            <v>22</v>
          </cell>
          <cell r="G10" t="str">
            <v>FR/SWA/ LSOH</v>
          </cell>
          <cell r="I10" t="str">
            <v>2 x 3c 10</v>
          </cell>
          <cell r="J10" t="str">
            <v>1c 10</v>
          </cell>
          <cell r="K10">
            <v>3.7333333333333329</v>
          </cell>
          <cell r="L10">
            <v>3.7333333333333329</v>
          </cell>
          <cell r="M10">
            <v>3.7333333333333329</v>
          </cell>
          <cell r="R10" t="str">
            <v>100mA ELCB + S/D STARTER</v>
          </cell>
        </row>
        <row r="11">
          <cell r="A11" t="str">
            <v>CEF-LG-2b</v>
          </cell>
          <cell r="B11" t="str">
            <v>TP</v>
          </cell>
          <cell r="D11">
            <v>40</v>
          </cell>
          <cell r="F11">
            <v>22</v>
          </cell>
          <cell r="G11" t="str">
            <v>FR/SWA/ LSOH</v>
          </cell>
          <cell r="I11" t="str">
            <v>2 x 3c 10</v>
          </cell>
          <cell r="J11" t="str">
            <v>1c 10</v>
          </cell>
          <cell r="K11">
            <v>3.7333333333333329</v>
          </cell>
          <cell r="L11">
            <v>3.7333333333333329</v>
          </cell>
          <cell r="M11">
            <v>3.7333333333333329</v>
          </cell>
          <cell r="R11" t="str">
            <v>100mA ELCB + S/D STARTER</v>
          </cell>
        </row>
        <row r="12">
          <cell r="A12" t="str">
            <v>CONTROLS</v>
          </cell>
          <cell r="B12" t="str">
            <v>SP</v>
          </cell>
          <cell r="D12">
            <v>10</v>
          </cell>
          <cell r="F12">
            <v>22</v>
          </cell>
          <cell r="G12" t="str">
            <v>FR/SWA/ LSOH</v>
          </cell>
          <cell r="I12" t="str">
            <v>2c 1.5</v>
          </cell>
          <cell r="K12">
            <v>1.5</v>
          </cell>
        </row>
        <row r="22">
          <cell r="A22" t="str">
            <v xml:space="preserve"> </v>
          </cell>
        </row>
        <row r="23">
          <cell r="A23" t="str">
            <v xml:space="preserve">CONNECTED TO : </v>
          </cell>
          <cell r="B23" t="str">
            <v>SBE-HC-LGM-1</v>
          </cell>
          <cell r="F23" t="str">
            <v>TOTAL CONNECTED LOAD PER PHASE</v>
          </cell>
          <cell r="K23">
            <v>8.966666666666665</v>
          </cell>
          <cell r="L23">
            <v>7.4666666666666659</v>
          </cell>
          <cell r="M23">
            <v>7.4666666666666659</v>
          </cell>
          <cell r="R23" t="str">
            <v>TOTAL</v>
          </cell>
        </row>
        <row r="26">
          <cell r="A26" t="str">
            <v xml:space="preserve">MAX. DEMAND (3 PH.):   </v>
          </cell>
          <cell r="B26">
            <v>23.899999999999995</v>
          </cell>
          <cell r="C26" t="str">
            <v>kW</v>
          </cell>
          <cell r="D26" t="str">
            <v xml:space="preserve">AT </v>
          </cell>
          <cell r="E26">
            <v>1</v>
          </cell>
          <cell r="F26" t="str">
            <v>DIVERSITY</v>
          </cell>
          <cell r="J26" t="str">
            <v xml:space="preserve">TOTAL CONNECTED LOAD(3 PH)   </v>
          </cell>
          <cell r="N26">
            <v>23.899999999999995</v>
          </cell>
          <cell r="O26" t="str">
            <v>kW</v>
          </cell>
        </row>
        <row r="29">
          <cell r="A29" t="str">
            <v>CONTRACTOR:</v>
          </cell>
          <cell r="K29" t="str">
            <v xml:space="preserve">TEL: </v>
          </cell>
          <cell r="O29" t="str">
            <v xml:space="preserve">FAX: </v>
          </cell>
        </row>
        <row r="31">
          <cell r="A31" t="str">
            <v>Type of Meter (Rating of Incomer):</v>
          </cell>
          <cell r="F31" t="str">
            <v>(1)  Upto 60A</v>
          </cell>
          <cell r="H31" t="str">
            <v>(2)  Upto 100 A</v>
          </cell>
          <cell r="K31" t="str">
            <v>(3)  125 - 160 A</v>
          </cell>
          <cell r="M31" t="str">
            <v>(4)  LV CT ..2500/5.......A</v>
          </cell>
          <cell r="Q31" t="str">
            <v>HV  CT .........../..........A</v>
          </cell>
        </row>
        <row r="32">
          <cell r="F32" t="str">
            <v xml:space="preserve">       (1 Phase)</v>
          </cell>
          <cell r="H32" t="str">
            <v xml:space="preserve">       (3 Phase)</v>
          </cell>
          <cell r="K32" t="str">
            <v xml:space="preserve">       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SB_M_COVER"/>
      <sheetName val="LVSB_M_9"/>
      <sheetName val="MSB_M_9"/>
      <sheetName val="SBE_MC_B2_1"/>
      <sheetName val="LMCP_CEF_B2_1"/>
      <sheetName val="LMCP_CSF_B2_1"/>
      <sheetName val="SBE_MC_B1_1"/>
      <sheetName val="LMCP_CEF_B1_1"/>
      <sheetName val="LMCP_CSF_B1_1"/>
      <sheetName val="SBE_MC_LG_1"/>
      <sheetName val="LMCP_CSF_LG_1"/>
      <sheetName val="LMCP_CEF_LG_1"/>
      <sheetName val="LMCP-JF-LG-2"/>
      <sheetName val="LMCP-JF-LG-3"/>
      <sheetName val="SBE_MC_LGM_1"/>
      <sheetName val="LMCP_CEF_LGM_1 "/>
      <sheetName val="LMCP_CSF_LGM_1"/>
      <sheetName val="LMCP_SVF_R_LGM_1"/>
      <sheetName val="LVSB_M_10"/>
      <sheetName val="MSB_M_10"/>
      <sheetName val="SBE_M_LGM_3"/>
      <sheetName val="LMCP_SEF_R_LGM_1"/>
      <sheetName val="SBE_M_LG_2"/>
      <sheetName val="LMCP_AHU_R_LG_2"/>
      <sheetName val="LMCP_AHU_R_G_2"/>
      <sheetName val="LMCP_AHU_R_1_2"/>
      <sheetName val="LMCP_AHU_R_2_2"/>
      <sheetName val="LMCP_PAU_R_2_1"/>
      <sheetName val="LMCP_SEF_R_1_1"/>
      <sheetName val="SB_MC_LG_2"/>
      <sheetName val="SB_HC_LG_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PROJECT: DUBAI MARINA MALL &amp; HOTEL/APARTMENTS</v>
          </cell>
          <cell r="I1" t="str">
            <v>DETAILS OF CONNECTED LOAD/ MAX. DEMAND</v>
          </cell>
        </row>
        <row r="2">
          <cell r="I2" t="str">
            <v>OWNER:</v>
          </cell>
          <cell r="J2" t="str">
            <v>EMAAR PROPERTIES PSJC</v>
          </cell>
          <cell r="O2" t="str">
            <v>AREA:</v>
          </cell>
          <cell r="Q2" t="str">
            <v>DUBAI,UNITED ARAB EMIRATES</v>
          </cell>
        </row>
        <row r="3">
          <cell r="E3" t="str">
            <v xml:space="preserve"> </v>
          </cell>
          <cell r="O3" t="str">
            <v xml:space="preserve"> LOCATION OF MCP: </v>
          </cell>
          <cell r="R3" t="str">
            <v xml:space="preserve">LOWER GROUND FLOOR </v>
          </cell>
        </row>
        <row r="4">
          <cell r="A4" t="str">
            <v xml:space="preserve">MDB / SMDB </v>
          </cell>
          <cell r="B4" t="str">
            <v>LMCP-CEF-LG-1</v>
          </cell>
          <cell r="I4" t="str">
            <v>CONSULTANT:MEINHARDT SINGAPORE PTE LTD.</v>
          </cell>
        </row>
        <row r="6">
          <cell r="A6" t="str">
            <v>CIRCUIT/</v>
          </cell>
          <cell r="B6" t="str">
            <v>SP/</v>
          </cell>
          <cell r="C6" t="str">
            <v>RATING - AMPS</v>
          </cell>
          <cell r="F6" t="str">
            <v>Isc FAULT</v>
          </cell>
          <cell r="G6" t="str">
            <v>FR or
XLPE</v>
          </cell>
          <cell r="H6" t="str">
            <v>CABLE SIZE</v>
          </cell>
          <cell r="J6" t="str">
            <v>ECC
SIZE-</v>
          </cell>
          <cell r="K6" t="str">
            <v>CONNECTED LOAD - KW</v>
          </cell>
          <cell r="N6" t="str">
            <v>PROPOSED TYPE &amp; NO. OF
KWH METERS</v>
          </cell>
        </row>
        <row r="7">
          <cell r="A7" t="str">
            <v>FEEDER
DB No.</v>
          </cell>
          <cell r="B7" t="str">
            <v>TP</v>
          </cell>
          <cell r="C7" t="str">
            <v>F/S
ISO</v>
          </cell>
          <cell r="D7" t="str">
            <v>MCCB</v>
          </cell>
          <cell r="E7" t="str">
            <v>MCB</v>
          </cell>
          <cell r="F7" t="str">
            <v>DUTY
KA</v>
          </cell>
          <cell r="G7" t="str">
            <v>SWA/
LS0H</v>
          </cell>
          <cell r="H7" t="str">
            <v>2/4 X1C
mm^2</v>
          </cell>
          <cell r="I7" t="str">
            <v>2/3/4C
mm^2</v>
          </cell>
          <cell r="J7" t="str">
            <v>1c
mm^2</v>
          </cell>
          <cell r="K7" t="str">
            <v>R-PH
KW</v>
          </cell>
          <cell r="L7" t="str">
            <v>Y-PH
KW</v>
          </cell>
          <cell r="M7" t="str">
            <v>B-PH
KW</v>
          </cell>
          <cell r="N7" t="str">
            <v>1 - PH
(1)</v>
          </cell>
          <cell r="O7" t="str">
            <v>3 - PH
(2)</v>
          </cell>
          <cell r="P7" t="str">
            <v>3 - PH
(3)</v>
          </cell>
          <cell r="Q7" t="str">
            <v>LV/H
CT (4)</v>
          </cell>
          <cell r="R7" t="str">
            <v>REMARKS</v>
          </cell>
        </row>
        <row r="8">
          <cell r="A8" t="str">
            <v>INCOMER (NON AUTO)</v>
          </cell>
          <cell r="B8" t="str">
            <v>TP</v>
          </cell>
          <cell r="D8">
            <v>250</v>
          </cell>
          <cell r="F8">
            <v>50</v>
          </cell>
          <cell r="G8" t="str">
            <v>FR/SWA/ LSOH</v>
          </cell>
          <cell r="I8" t="str">
            <v>4c 150</v>
          </cell>
          <cell r="J8" t="str">
            <v>1c 70</v>
          </cell>
          <cell r="K8">
            <v>30.366666666666667</v>
          </cell>
          <cell r="L8">
            <v>29.866666666666667</v>
          </cell>
          <cell r="M8">
            <v>29.866666666666667</v>
          </cell>
        </row>
        <row r="9">
          <cell r="A9" t="str">
            <v>OUTGOING</v>
          </cell>
        </row>
        <row r="10">
          <cell r="A10" t="str">
            <v>CEF-LG-1a</v>
          </cell>
          <cell r="B10" t="str">
            <v>TP</v>
          </cell>
          <cell r="D10">
            <v>40</v>
          </cell>
          <cell r="F10">
            <v>22</v>
          </cell>
          <cell r="G10" t="str">
            <v>FR/SWA/ LSOH</v>
          </cell>
          <cell r="I10" t="str">
            <v>2 x 3c 10</v>
          </cell>
          <cell r="J10" t="str">
            <v>1c 10</v>
          </cell>
          <cell r="K10">
            <v>3.7333333333333329</v>
          </cell>
          <cell r="L10">
            <v>3.7333333333333329</v>
          </cell>
          <cell r="M10">
            <v>3.7333333333333329</v>
          </cell>
          <cell r="R10" t="str">
            <v>100mA ELCB + S/D STARTER</v>
          </cell>
        </row>
        <row r="11">
          <cell r="A11" t="str">
            <v>CEF-LG-1b</v>
          </cell>
          <cell r="B11" t="str">
            <v>TP</v>
          </cell>
          <cell r="D11">
            <v>40</v>
          </cell>
          <cell r="F11">
            <v>22</v>
          </cell>
          <cell r="G11" t="str">
            <v>FR/SWA/ LSOH</v>
          </cell>
          <cell r="I11" t="str">
            <v>2 x 3c 10</v>
          </cell>
          <cell r="J11" t="str">
            <v>1c 10</v>
          </cell>
          <cell r="K11">
            <v>3.7333333333333329</v>
          </cell>
          <cell r="L11">
            <v>3.7333333333333329</v>
          </cell>
          <cell r="M11">
            <v>3.7333333333333329</v>
          </cell>
          <cell r="R11" t="str">
            <v>100mA ELCB + S/D STARTER</v>
          </cell>
        </row>
        <row r="12">
          <cell r="A12" t="str">
            <v>CEF-LG-1c</v>
          </cell>
          <cell r="B12" t="str">
            <v>TP</v>
          </cell>
          <cell r="D12">
            <v>40</v>
          </cell>
          <cell r="F12">
            <v>22</v>
          </cell>
          <cell r="G12" t="str">
            <v>FR/SWA/ LSOH</v>
          </cell>
          <cell r="I12" t="str">
            <v>2 x 3c 10</v>
          </cell>
          <cell r="J12" t="str">
            <v>1c 10</v>
          </cell>
          <cell r="K12">
            <v>3.7333333333333329</v>
          </cell>
          <cell r="L12">
            <v>3.7333333333333329</v>
          </cell>
          <cell r="M12">
            <v>3.7333333333333329</v>
          </cell>
          <cell r="R12" t="str">
            <v>100mA ELCB + S/D STARTER</v>
          </cell>
        </row>
        <row r="13">
          <cell r="A13" t="str">
            <v>CEF-LG-1d</v>
          </cell>
          <cell r="B13" t="str">
            <v>TP</v>
          </cell>
          <cell r="D13">
            <v>40</v>
          </cell>
          <cell r="F13">
            <v>22</v>
          </cell>
          <cell r="G13" t="str">
            <v>FR/SWA/ LSOH</v>
          </cell>
          <cell r="I13" t="str">
            <v>2 x 3c 10</v>
          </cell>
          <cell r="J13" t="str">
            <v>1c 10</v>
          </cell>
          <cell r="K13">
            <v>3.7333333333333329</v>
          </cell>
          <cell r="L13">
            <v>3.7333333333333329</v>
          </cell>
          <cell r="M13">
            <v>3.7333333333333329</v>
          </cell>
          <cell r="R13" t="str">
            <v>100mA ELCB + S/D STARTER</v>
          </cell>
        </row>
        <row r="14">
          <cell r="A14" t="str">
            <v>CEF-LG-1e</v>
          </cell>
          <cell r="B14" t="str">
            <v>TP</v>
          </cell>
          <cell r="D14">
            <v>40</v>
          </cell>
          <cell r="F14">
            <v>22</v>
          </cell>
          <cell r="G14" t="str">
            <v>FR/SWA/ LSOH</v>
          </cell>
          <cell r="I14" t="str">
            <v>2 x 3c 10</v>
          </cell>
          <cell r="J14" t="str">
            <v>1c 10</v>
          </cell>
          <cell r="K14">
            <v>3.7333333333333329</v>
          </cell>
          <cell r="L14">
            <v>3.7333333333333329</v>
          </cell>
          <cell r="M14">
            <v>3.7333333333333329</v>
          </cell>
          <cell r="R14" t="str">
            <v>100mA ELCB + S/D STARTER</v>
          </cell>
        </row>
        <row r="15">
          <cell r="A15" t="str">
            <v>CEF-LG-1f</v>
          </cell>
          <cell r="B15" t="str">
            <v>TP</v>
          </cell>
          <cell r="D15">
            <v>40</v>
          </cell>
          <cell r="F15">
            <v>22</v>
          </cell>
          <cell r="G15" t="str">
            <v>FR/SWA/ LSOH</v>
          </cell>
          <cell r="I15" t="str">
            <v>2 x 3c 10</v>
          </cell>
          <cell r="J15" t="str">
            <v>1c 10</v>
          </cell>
          <cell r="K15">
            <v>3.7333333333333329</v>
          </cell>
          <cell r="L15">
            <v>3.7333333333333329</v>
          </cell>
          <cell r="M15">
            <v>3.7333333333333329</v>
          </cell>
          <cell r="R15" t="str">
            <v>100mA ELCB + S/D STARTER</v>
          </cell>
        </row>
        <row r="16">
          <cell r="A16" t="str">
            <v>CEF-LG-1g</v>
          </cell>
          <cell r="B16" t="str">
            <v>TP</v>
          </cell>
          <cell r="D16">
            <v>40</v>
          </cell>
          <cell r="F16">
            <v>22</v>
          </cell>
          <cell r="G16" t="str">
            <v>FR/SWA/ LSOH</v>
          </cell>
          <cell r="I16" t="str">
            <v>2 x 3c 10</v>
          </cell>
          <cell r="J16" t="str">
            <v>1c 10</v>
          </cell>
          <cell r="K16">
            <v>3.7333333333333329</v>
          </cell>
          <cell r="L16">
            <v>3.7333333333333329</v>
          </cell>
          <cell r="M16">
            <v>3.7333333333333329</v>
          </cell>
          <cell r="R16" t="str">
            <v>100mA ELCB + S/D STARTER</v>
          </cell>
        </row>
        <row r="17">
          <cell r="A17" t="str">
            <v>CEF-LG-1h</v>
          </cell>
          <cell r="B17" t="str">
            <v>TP</v>
          </cell>
          <cell r="D17">
            <v>40</v>
          </cell>
          <cell r="F17">
            <v>22</v>
          </cell>
          <cell r="G17" t="str">
            <v>FR/SWA/ LSOH</v>
          </cell>
          <cell r="I17" t="str">
            <v>2 x 3c 10</v>
          </cell>
          <cell r="J17" t="str">
            <v>1c 10</v>
          </cell>
          <cell r="K17">
            <v>3.7333333333333329</v>
          </cell>
          <cell r="L17">
            <v>3.7333333333333329</v>
          </cell>
          <cell r="M17">
            <v>3.7333333333333329</v>
          </cell>
          <cell r="R17" t="str">
            <v>100mA ELCB + S/D STARTER</v>
          </cell>
        </row>
        <row r="18">
          <cell r="A18" t="str">
            <v>CONTROLS</v>
          </cell>
          <cell r="B18" t="str">
            <v>SP</v>
          </cell>
          <cell r="D18">
            <v>10</v>
          </cell>
          <cell r="F18">
            <v>22</v>
          </cell>
          <cell r="G18" t="str">
            <v>FR/SWA/ LSOH</v>
          </cell>
          <cell r="I18" t="str">
            <v>2c 1.5</v>
          </cell>
          <cell r="K18">
            <v>0.5</v>
          </cell>
        </row>
        <row r="22">
          <cell r="A22" t="str">
            <v xml:space="preserve"> </v>
          </cell>
        </row>
        <row r="23">
          <cell r="A23" t="str">
            <v>CONNECTED TO :</v>
          </cell>
          <cell r="B23" t="str">
            <v>SBE-HC-LGM-1 SBE-MC-LG-1</v>
          </cell>
          <cell r="F23" t="str">
            <v>TOTAL CONNECTED LOAD PER PHASE</v>
          </cell>
          <cell r="K23">
            <v>30.366666666666667</v>
          </cell>
          <cell r="L23">
            <v>29.866666666666667</v>
          </cell>
          <cell r="M23">
            <v>29.866666666666667</v>
          </cell>
          <cell r="R23" t="str">
            <v>TOTAL</v>
          </cell>
        </row>
        <row r="26">
          <cell r="A26" t="str">
            <v xml:space="preserve">MAX. DEMAND (3 PH.):   </v>
          </cell>
          <cell r="B26">
            <v>90.1</v>
          </cell>
          <cell r="C26" t="str">
            <v>kW</v>
          </cell>
          <cell r="D26" t="str">
            <v xml:space="preserve">AT </v>
          </cell>
          <cell r="E26">
            <v>1</v>
          </cell>
          <cell r="F26" t="str">
            <v>DIVERSITY</v>
          </cell>
          <cell r="J26" t="str">
            <v xml:space="preserve">TOTAL CONNECTED LOAD(3 PH)   </v>
          </cell>
          <cell r="N26">
            <v>90.1</v>
          </cell>
          <cell r="O26" t="str">
            <v>kW</v>
          </cell>
        </row>
        <row r="29">
          <cell r="A29" t="str">
            <v>CONTRACTOR:</v>
          </cell>
          <cell r="K29" t="str">
            <v xml:space="preserve">TEL: </v>
          </cell>
          <cell r="O29" t="str">
            <v xml:space="preserve">FAX: </v>
          </cell>
        </row>
        <row r="31">
          <cell r="A31" t="str">
            <v>Type of Meter (Rating of Incomer):</v>
          </cell>
          <cell r="F31" t="str">
            <v>(1)  Upto 60A</v>
          </cell>
          <cell r="H31" t="str">
            <v>(2)  Upto 100 A</v>
          </cell>
          <cell r="K31" t="str">
            <v>(3)  125 - 160 A</v>
          </cell>
          <cell r="M31" t="str">
            <v>(4)  LV CT ..2500/5.......A</v>
          </cell>
          <cell r="Q31" t="str">
            <v>HV  CT .........../..........A</v>
          </cell>
        </row>
        <row r="32">
          <cell r="F32" t="str">
            <v xml:space="preserve">       (1 Phase)</v>
          </cell>
          <cell r="H32" t="str">
            <v xml:space="preserve">       (3 Phase)</v>
          </cell>
          <cell r="K32" t="str">
            <v xml:space="preserve">       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MCP-DX-R-G-1"/>
      <sheetName val="LMCP-DX-R-LGM-6"/>
      <sheetName val="LMCP-DX-R-LGM-5"/>
      <sheetName val="LMCP-DX-R-LGM-4"/>
      <sheetName val="LMCP-DX-R-LGM-3"/>
      <sheetName val="LMCP-DX-R-LGM-2"/>
      <sheetName val="LMCP-DX-R-LGM-1"/>
      <sheetName val="LMCP-DX-R-LG-1"/>
      <sheetName val="LMCP-DX-R-B1-1"/>
      <sheetName val="SBE-MC-LGM-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1">
          <cell r="A1" t="str">
            <v>PROJECT: DUBAI MARINA MALL AND HOTEL/APARTMENT</v>
          </cell>
          <cell r="I1" t="str">
            <v>DETAILS OF CONNECTED LOAD/ MAX. DEMAND</v>
          </cell>
        </row>
        <row r="2">
          <cell r="I2" t="str">
            <v>OWNER:</v>
          </cell>
          <cell r="J2" t="str">
            <v>EMAAR PROPERTIES PSJC</v>
          </cell>
          <cell r="O2" t="str">
            <v>AREA:</v>
          </cell>
          <cell r="Q2" t="str">
            <v>DUBAI,UNITED ARAB EMIRATES</v>
          </cell>
        </row>
        <row r="3">
          <cell r="E3" t="str">
            <v xml:space="preserve"> </v>
          </cell>
          <cell r="O3" t="str">
            <v xml:space="preserve"> LOCATION OF SB: </v>
          </cell>
          <cell r="R3" t="str">
            <v>RETAIL MALL/LGM</v>
          </cell>
        </row>
        <row r="4">
          <cell r="A4" t="str">
            <v xml:space="preserve">MDB / SMDB </v>
          </cell>
          <cell r="B4" t="str">
            <v>SBE-MC-LGM-3(S/B)</v>
          </cell>
          <cell r="I4" t="str">
            <v>CONSULTANT:MEINHARDT SINGAPORE PTE LTD.</v>
          </cell>
        </row>
        <row r="6">
          <cell r="A6" t="str">
            <v>CIRCUIT/</v>
          </cell>
          <cell r="B6" t="str">
            <v>SP/</v>
          </cell>
          <cell r="C6" t="str">
            <v>RATING - AMPS</v>
          </cell>
          <cell r="F6" t="str">
            <v>Isc FAULT</v>
          </cell>
          <cell r="G6" t="str">
            <v>FR or
XLPE</v>
          </cell>
          <cell r="H6" t="str">
            <v>CABLE SIZE</v>
          </cell>
          <cell r="J6" t="str">
            <v>ECC
SIZE-</v>
          </cell>
          <cell r="K6" t="str">
            <v>CONNECTED LOAD - KW</v>
          </cell>
          <cell r="N6" t="str">
            <v>PROPOSED TYPE &amp; NO. OF
KWH METERS</v>
          </cell>
        </row>
        <row r="7">
          <cell r="A7" t="str">
            <v>FEEDER
DB No.</v>
          </cell>
          <cell r="B7" t="str">
            <v>TP</v>
          </cell>
          <cell r="C7" t="str">
            <v>F/S
ISO</v>
          </cell>
          <cell r="D7" t="str">
            <v>MCCB</v>
          </cell>
          <cell r="E7" t="str">
            <v>MCB</v>
          </cell>
          <cell r="F7" t="str">
            <v>DUTY
KA</v>
          </cell>
          <cell r="G7" t="str">
            <v>SWA/
LS0H</v>
          </cell>
          <cell r="H7" t="str">
            <v>2/4 X1C
mm^2</v>
          </cell>
          <cell r="I7" t="str">
            <v>2/3/4C
mm^2</v>
          </cell>
          <cell r="J7" t="str">
            <v>1c
mm^2</v>
          </cell>
          <cell r="K7" t="str">
            <v>R-PH
KW</v>
          </cell>
          <cell r="L7" t="str">
            <v>Y-PH
KW</v>
          </cell>
          <cell r="M7" t="str">
            <v>B-PH
KW</v>
          </cell>
          <cell r="N7" t="str">
            <v>1 - PH
(1)</v>
          </cell>
          <cell r="O7" t="str">
            <v>3 - PH
(2)</v>
          </cell>
          <cell r="P7" t="str">
            <v>3 - PH
(3)</v>
          </cell>
          <cell r="Q7" t="str">
            <v>LV/H
CT (4)</v>
          </cell>
          <cell r="R7" t="str">
            <v>REMARKS</v>
          </cell>
        </row>
        <row r="8">
          <cell r="A8" t="str">
            <v>INCOMER (NON AUTO)</v>
          </cell>
          <cell r="B8" t="str">
            <v>TP</v>
          </cell>
          <cell r="D8">
            <v>100</v>
          </cell>
          <cell r="F8">
            <v>50</v>
          </cell>
          <cell r="G8" t="str">
            <v>FR/SWA/ LSOH</v>
          </cell>
          <cell r="I8" t="str">
            <v>4c 35</v>
          </cell>
          <cell r="J8" t="str">
            <v>1c 25</v>
          </cell>
          <cell r="K8">
            <v>33.290000000000006</v>
          </cell>
          <cell r="L8">
            <v>31.290000000000003</v>
          </cell>
          <cell r="M8">
            <v>30.790000000000003</v>
          </cell>
        </row>
        <row r="9">
          <cell r="A9" t="str">
            <v>OUTGOING</v>
          </cell>
        </row>
        <row r="10">
          <cell r="A10" t="str">
            <v>I-LMCP-DX-R-B1-1(S/B)</v>
          </cell>
          <cell r="B10" t="str">
            <v>TP</v>
          </cell>
          <cell r="D10">
            <v>20</v>
          </cell>
          <cell r="F10">
            <v>22</v>
          </cell>
          <cell r="G10" t="str">
            <v>FR/SWA/ LSOH</v>
          </cell>
          <cell r="I10" t="str">
            <v>4c 4</v>
          </cell>
          <cell r="J10" t="str">
            <v>1c 4</v>
          </cell>
          <cell r="K10">
            <v>2.33</v>
          </cell>
          <cell r="L10">
            <v>1.83</v>
          </cell>
          <cell r="M10">
            <v>1.83</v>
          </cell>
        </row>
        <row r="11">
          <cell r="A11" t="str">
            <v>I-LMCP-DX-R-LG-1(S/B)</v>
          </cell>
          <cell r="B11" t="str">
            <v>TP</v>
          </cell>
          <cell r="D11">
            <v>100</v>
          </cell>
          <cell r="F11">
            <v>50</v>
          </cell>
          <cell r="G11" t="str">
            <v>FR/SWA/ LSOH</v>
          </cell>
          <cell r="I11" t="str">
            <v>4c 35</v>
          </cell>
          <cell r="J11" t="str">
            <v>1c 16</v>
          </cell>
          <cell r="K11">
            <v>12.5</v>
          </cell>
          <cell r="L11">
            <v>13</v>
          </cell>
          <cell r="M11">
            <v>12.5</v>
          </cell>
        </row>
        <row r="12">
          <cell r="A12" t="str">
            <v>I-LMCP-DX-R-LGM-1(S/B)</v>
          </cell>
          <cell r="B12" t="str">
            <v>SP/</v>
          </cell>
          <cell r="D12">
            <v>20</v>
          </cell>
          <cell r="F12">
            <v>22</v>
          </cell>
          <cell r="G12" t="str">
            <v>FR/SWA/ LSOH</v>
          </cell>
          <cell r="I12" t="str">
            <v>2c 4</v>
          </cell>
          <cell r="J12" t="str">
            <v>1c 4</v>
          </cell>
          <cell r="K12">
            <v>2</v>
          </cell>
        </row>
        <row r="13">
          <cell r="A13" t="str">
            <v>I-LMCP-DX-R-LGM-2(S/B)</v>
          </cell>
          <cell r="B13" t="str">
            <v>TP</v>
          </cell>
          <cell r="D13">
            <v>20</v>
          </cell>
          <cell r="F13">
            <v>22</v>
          </cell>
          <cell r="G13" t="str">
            <v>FR/SWA/ LSOH</v>
          </cell>
          <cell r="I13" t="str">
            <v>4c 4</v>
          </cell>
          <cell r="J13" t="str">
            <v>1c 4</v>
          </cell>
          <cell r="K13">
            <v>0.73</v>
          </cell>
          <cell r="L13">
            <v>1.23</v>
          </cell>
          <cell r="M13">
            <v>0.73</v>
          </cell>
        </row>
        <row r="14">
          <cell r="A14" t="str">
            <v>I-LMCP-DX-R-LGM-3(S/B)</v>
          </cell>
          <cell r="B14" t="str">
            <v>TP</v>
          </cell>
          <cell r="D14">
            <v>20</v>
          </cell>
          <cell r="F14">
            <v>22</v>
          </cell>
          <cell r="G14" t="str">
            <v>FR/SWA/ LSOH</v>
          </cell>
          <cell r="I14" t="str">
            <v>4c 4</v>
          </cell>
          <cell r="J14" t="str">
            <v>1c 4</v>
          </cell>
          <cell r="K14">
            <v>1.33</v>
          </cell>
          <cell r="L14">
            <v>1.33</v>
          </cell>
          <cell r="M14">
            <v>1.83</v>
          </cell>
        </row>
        <row r="15">
          <cell r="A15" t="str">
            <v>I-LMCP-DX-R-LGM-4(S/B)</v>
          </cell>
          <cell r="B15" t="str">
            <v>TP</v>
          </cell>
          <cell r="D15">
            <v>63</v>
          </cell>
          <cell r="F15">
            <v>36</v>
          </cell>
          <cell r="G15" t="str">
            <v>FR/SWA/ LSOH</v>
          </cell>
          <cell r="I15" t="str">
            <v>4c 16</v>
          </cell>
          <cell r="J15" t="str">
            <v>1c 16</v>
          </cell>
          <cell r="K15">
            <v>8</v>
          </cell>
          <cell r="L15">
            <v>7.5</v>
          </cell>
          <cell r="M15">
            <v>7.5</v>
          </cell>
        </row>
        <row r="16">
          <cell r="A16" t="str">
            <v>I-LMCP-DX-R-LGM-5(S/B)</v>
          </cell>
          <cell r="B16" t="str">
            <v>TP</v>
          </cell>
          <cell r="D16">
            <v>32</v>
          </cell>
          <cell r="F16">
            <v>36</v>
          </cell>
          <cell r="G16" t="str">
            <v>FR/SWA/ LSOH</v>
          </cell>
          <cell r="I16" t="str">
            <v>4c 6</v>
          </cell>
          <cell r="J16" t="str">
            <v>1c 6</v>
          </cell>
          <cell r="K16">
            <v>2.67</v>
          </cell>
          <cell r="L16">
            <v>3.17</v>
          </cell>
          <cell r="M16">
            <v>2.67</v>
          </cell>
        </row>
        <row r="17">
          <cell r="A17" t="str">
            <v>I-LMCP-DX-R-LGM-6(S/B)</v>
          </cell>
          <cell r="B17" t="str">
            <v>TP</v>
          </cell>
          <cell r="D17">
            <v>20</v>
          </cell>
          <cell r="F17">
            <v>22</v>
          </cell>
          <cell r="G17" t="str">
            <v>FR/SWA/ LSOH</v>
          </cell>
          <cell r="I17" t="str">
            <v>4c 4</v>
          </cell>
          <cell r="J17" t="str">
            <v>1c 4</v>
          </cell>
          <cell r="K17">
            <v>0.73</v>
          </cell>
          <cell r="L17">
            <v>0.73</v>
          </cell>
          <cell r="M17">
            <v>1.23</v>
          </cell>
        </row>
        <row r="18">
          <cell r="A18" t="str">
            <v>I-LMCP-DX-R-G-1(S/B)</v>
          </cell>
          <cell r="B18" t="str">
            <v>TP</v>
          </cell>
          <cell r="D18">
            <v>32</v>
          </cell>
          <cell r="F18">
            <v>36</v>
          </cell>
          <cell r="G18" t="str">
            <v>FR/SWA/ LSOH</v>
          </cell>
          <cell r="I18" t="str">
            <v>4c 6</v>
          </cell>
          <cell r="J18" t="str">
            <v>1c 6</v>
          </cell>
          <cell r="K18">
            <v>3</v>
          </cell>
          <cell r="L18">
            <v>2.5</v>
          </cell>
          <cell r="M18">
            <v>2.5</v>
          </cell>
        </row>
        <row r="23">
          <cell r="A23" t="str">
            <v xml:space="preserve"> </v>
          </cell>
        </row>
        <row r="24">
          <cell r="A24" t="str">
            <v>CONNECTED TO :</v>
          </cell>
          <cell r="B24" t="str">
            <v>SBE-M-B2-1</v>
          </cell>
          <cell r="F24" t="str">
            <v>TOTAL CONNECTED LOAD PER PHASE</v>
          </cell>
          <cell r="K24">
            <v>33.290000000000006</v>
          </cell>
          <cell r="L24">
            <v>31.290000000000003</v>
          </cell>
          <cell r="M24">
            <v>30.790000000000003</v>
          </cell>
          <cell r="R24" t="str">
            <v>TOTAL</v>
          </cell>
        </row>
        <row r="27">
          <cell r="A27" t="str">
            <v xml:space="preserve">MAX. DEMAND (3 PH.):   </v>
          </cell>
          <cell r="B27">
            <v>85.833000000000013</v>
          </cell>
          <cell r="C27" t="str">
            <v>kW</v>
          </cell>
          <cell r="D27" t="str">
            <v xml:space="preserve">AT </v>
          </cell>
          <cell r="E27">
            <v>0.9</v>
          </cell>
          <cell r="F27" t="str">
            <v>DIVERSITY</v>
          </cell>
          <cell r="J27" t="str">
            <v xml:space="preserve">TOTAL CONNECTED LOAD(3 PH)   </v>
          </cell>
          <cell r="N27">
            <v>95.370000000000019</v>
          </cell>
          <cell r="O27" t="str">
            <v>kW</v>
          </cell>
        </row>
        <row r="30">
          <cell r="A30" t="str">
            <v>CONTRACTOR:</v>
          </cell>
          <cell r="K30" t="str">
            <v xml:space="preserve">TEL: </v>
          </cell>
          <cell r="O30" t="str">
            <v xml:space="preserve">FAX: </v>
          </cell>
        </row>
        <row r="32">
          <cell r="A32" t="str">
            <v>Type of Meter (Rating of Incomer):</v>
          </cell>
          <cell r="F32" t="str">
            <v>(1)  Upto 60A</v>
          </cell>
          <cell r="H32" t="str">
            <v>(2)  Upto 100 A</v>
          </cell>
          <cell r="K32" t="str">
            <v>(3)  125 - 160 A</v>
          </cell>
          <cell r="M32" t="str">
            <v>(4)  LV CT ..2500/5.......A</v>
          </cell>
          <cell r="Q32" t="str">
            <v>HV  CT .........../..........A</v>
          </cell>
        </row>
        <row r="33">
          <cell r="F33" t="str">
            <v xml:space="preserve">       (1 Phase)</v>
          </cell>
          <cell r="H33" t="str">
            <v xml:space="preserve">       (3 Phase)</v>
          </cell>
          <cell r="K33" t="str">
            <v xml:space="preserve">       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SB_H_COVER"/>
      <sheetName val="MSB_H_5"/>
      <sheetName val="SB_HC_LGM_3"/>
      <sheetName val="DB_HC_G_1_1_"/>
      <sheetName val="DB_HC_G_1_2_"/>
      <sheetName val="DB_HC_G_1_3_"/>
      <sheetName val="DB_HC_G_2_1_"/>
      <sheetName val="DB_HC_G_2_2_"/>
      <sheetName val="DB_HC_GM_1_1_"/>
      <sheetName val="DB_HC_1_1_1_"/>
      <sheetName val="DB_HC_1_1_2_"/>
      <sheetName val="DB_HC_1_2_1_"/>
      <sheetName val="DB_HC_1M_1_1_"/>
      <sheetName val="DB_HC_1M_1_2_"/>
      <sheetName val="DB_HC_2_1_1_"/>
      <sheetName val="DB_HC_2_1_2_"/>
      <sheetName val="DB_HC_2M_1_1_"/>
      <sheetName val="DB_HC_2M_1_2_"/>
      <sheetName val="DB_HC_3_1_1_"/>
      <sheetName val="DB_HC_3_1_2_"/>
      <sheetName val="SBE_HC_LGM_4"/>
      <sheetName val="MCPE_HC_LG_M_1"/>
      <sheetName val="LMCP_JF_G_1"/>
      <sheetName val="LMCP_JF_G_2"/>
      <sheetName val="LMCP_JF_GM_1"/>
      <sheetName val="LMCP_JF_GM_2"/>
      <sheetName val="MCPE_HC_1_1"/>
      <sheetName val="LMCP_JF_1_1"/>
      <sheetName val="LMCP_JF_1_2"/>
      <sheetName val="LMCP_JF_1M_1"/>
      <sheetName val="LMCP_JF_1M_2"/>
      <sheetName val="MCPE_HC_2_1"/>
      <sheetName val="LMCP_JF_2_1"/>
      <sheetName val="LMCP_JF_2_2"/>
      <sheetName val="LMCP_JF_2_1A"/>
      <sheetName val="LMCP_JF_2_2A"/>
      <sheetName val="LMCP_JF_2M_1"/>
      <sheetName val="LMCP_JF_2M_2"/>
      <sheetName val="MCPE_HC_3_1"/>
      <sheetName val="LMCP_JF_3_1"/>
      <sheetName val="LMCP_JF_3_1A"/>
      <sheetName val="LMCP_JF_3_2A"/>
      <sheetName val="MCPE_H_4_1"/>
      <sheetName val="LMCP_SEF_H_4_1"/>
      <sheetName val="LMCP_SEF_H_4_3"/>
      <sheetName val="SB_H_3_F"/>
      <sheetName val="DB_H_3_F_1_1_"/>
      <sheetName val="DB_H_3_F_1_2_"/>
      <sheetName val="DB_H_3_F_2"/>
      <sheetName val="LMCP_AHU_H_3_5"/>
      <sheetName val="SB_H_4_B"/>
      <sheetName val="DB_H_4_B_1_1_"/>
      <sheetName val="DB_H_4_B_1_2_"/>
      <sheetName val="DB_H_4_B_1_3_"/>
      <sheetName val="DB_H_4_B_2_1_"/>
      <sheetName val="DB_H_4_B_2_2_"/>
      <sheetName val="DB_H_4_B_2_3_"/>
      <sheetName val="LMCP_AHU_H_4_5"/>
      <sheetName val="LMCP_AHU_H_4_6"/>
      <sheetName val="LMCP_AHU_H_4_7"/>
      <sheetName val="SB_H_4_KE_BH _1_"/>
      <sheetName val="SB_H_4_KE_BH _2_"/>
      <sheetName val="LMCP_KEF_H_4_1"/>
      <sheetName val="LMCP_PAU_H_4_1"/>
      <sheetName val="MCP_HC_LG_2"/>
      <sheetName val="LMCP_SF_EF_H_TX_1"/>
      <sheetName val="LMCP_SF_EF_H_TX_2"/>
      <sheetName val="LMCP_SF_EF_H_TX_3"/>
      <sheetName val="LMCP_SF_EF_HA_TX_1"/>
      <sheetName val="SBE_HC_LGM_2"/>
      <sheetName val="LMCP_CEF_H_G_1"/>
      <sheetName val="LMCP_CEF_H_GM_1"/>
      <sheetName val="LMCP_CEF_H_1_1"/>
      <sheetName val="LMCP_CEF_H_1M_1"/>
      <sheetName val="LMCP_CEF_H_2_1"/>
      <sheetName val="LMCP_CEF_H_2M_1"/>
      <sheetName val="LMCP_CEF_H_3_1"/>
      <sheetName val="LMCP_JF_B2_1"/>
      <sheetName val="LMCP_JF_B1_1"/>
      <sheetName val="LMCP_JF_LG_1"/>
      <sheetName val="LMCP_JF_LGM_1"/>
      <sheetName val="SBE_H_G_3_(FCC)_"/>
      <sheetName val="LMCP_DX_FCU_H_G_1"/>
      <sheetName val="LMCP_DX_FCU_H_LG_1"/>
      <sheetName val="LMCP_DX_FCU_H_LG_2"/>
      <sheetName val="LMCP_DX_FCU_H_LGM_1"/>
      <sheetName val="LMCP_DX_FCU_H_LGM_2"/>
      <sheetName val="LMCP_DX_FCU_H_LGM_3"/>
      <sheetName val="LMCP_DX_FCU_H_LGM_4"/>
      <sheetName val="LMCP_DX_FCU_H_LGM_5"/>
      <sheetName val="EMSB_H_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>
        <row r="2">
          <cell r="B2" t="str">
            <v>PROJECT: DUBAI MARINA MALL &amp; HOTEL APARTMENTS</v>
          </cell>
          <cell r="J2" t="str">
            <v>DETAILS OF CONNECTED LOAD/ MAX. DEMAND</v>
          </cell>
        </row>
        <row r="3">
          <cell r="J3" t="str">
            <v>OWNER:</v>
          </cell>
          <cell r="K3" t="str">
            <v>EMAAR PROPERTIES PSJC</v>
          </cell>
          <cell r="P3" t="str">
            <v>AREA:</v>
          </cell>
          <cell r="R3" t="str">
            <v>DUBAI,UNITED ARAB EMIRATES</v>
          </cell>
        </row>
        <row r="4">
          <cell r="F4" t="str">
            <v xml:space="preserve"> </v>
          </cell>
          <cell r="P4" t="str">
            <v xml:space="preserve"> LOCATION OF MCP: </v>
          </cell>
          <cell r="S4" t="str">
            <v>3RD FLOOR</v>
          </cell>
        </row>
        <row r="5">
          <cell r="B5" t="str">
            <v xml:space="preserve">MDB / SMDB </v>
          </cell>
          <cell r="C5" t="str">
            <v>LMCP-AHU-H-3-5</v>
          </cell>
          <cell r="J5" t="str">
            <v>CONSULTANT:MEINHARDT SINGAPORE PTE LTD.</v>
          </cell>
        </row>
        <row r="7">
          <cell r="B7" t="str">
            <v>CIRCUIT/</v>
          </cell>
          <cell r="C7" t="str">
            <v>SP/</v>
          </cell>
          <cell r="D7" t="str">
            <v>RATING - AMPS</v>
          </cell>
          <cell r="G7" t="str">
            <v>Isc FAULT</v>
          </cell>
          <cell r="H7" t="str">
            <v>FR or
XLPE</v>
          </cell>
          <cell r="I7" t="str">
            <v>CABLE SIZE</v>
          </cell>
          <cell r="K7" t="str">
            <v>CPC
SIZE-</v>
          </cell>
          <cell r="L7" t="str">
            <v>CONNECTED LOAD - KW</v>
          </cell>
          <cell r="O7" t="str">
            <v>PROPOSED TYPE &amp; NO. OF
KWH METERS</v>
          </cell>
        </row>
        <row r="8">
          <cell r="B8" t="str">
            <v>FEEDER
DB No.</v>
          </cell>
          <cell r="C8" t="str">
            <v>TP</v>
          </cell>
          <cell r="D8" t="str">
            <v>F/S
ISO</v>
          </cell>
          <cell r="E8" t="str">
            <v>MCCB</v>
          </cell>
          <cell r="F8" t="str">
            <v>MCB</v>
          </cell>
          <cell r="G8" t="str">
            <v>DUTY
KA</v>
          </cell>
          <cell r="H8" t="str">
            <v>SWA/
LS0H</v>
          </cell>
          <cell r="I8" t="str">
            <v>2/4 X1C
mm^2</v>
          </cell>
          <cell r="J8" t="str">
            <v>2/3/4C
mm^2</v>
          </cell>
          <cell r="K8" t="str">
            <v>1c
mm^2</v>
          </cell>
          <cell r="L8" t="str">
            <v>R-PH
KW</v>
          </cell>
          <cell r="M8" t="str">
            <v>Y-PH
KW</v>
          </cell>
          <cell r="N8" t="str">
            <v>B-PH
KW</v>
          </cell>
          <cell r="O8" t="str">
            <v>1 - PH
(1)</v>
          </cell>
          <cell r="P8" t="str">
            <v>3 - PH
(2)</v>
          </cell>
          <cell r="Q8" t="str">
            <v>3 - PH
(3)</v>
          </cell>
          <cell r="R8" t="str">
            <v>LV/H
CT (4)</v>
          </cell>
          <cell r="S8" t="str">
            <v>REMARKS</v>
          </cell>
        </row>
        <row r="9">
          <cell r="B9" t="str">
            <v>INCOMER (NON AUTO)</v>
          </cell>
          <cell r="C9" t="str">
            <v>TP</v>
          </cell>
          <cell r="E9">
            <v>80</v>
          </cell>
          <cell r="G9">
            <v>22</v>
          </cell>
          <cell r="H9" t="str">
            <v>XLPE/SWA/ LSOH</v>
          </cell>
          <cell r="J9" t="str">
            <v>4c 25</v>
          </cell>
          <cell r="K9" t="str">
            <v>1c 16</v>
          </cell>
          <cell r="L9">
            <v>7.0666666666666664</v>
          </cell>
          <cell r="M9">
            <v>6.5666666666666664</v>
          </cell>
          <cell r="N9">
            <v>6.5666666666666664</v>
          </cell>
        </row>
        <row r="10">
          <cell r="B10" t="str">
            <v>OUTGOING</v>
          </cell>
        </row>
        <row r="11">
          <cell r="B11" t="str">
            <v>EF+HW+AHU-H-3-5</v>
          </cell>
          <cell r="C11" t="str">
            <v>TP</v>
          </cell>
          <cell r="E11">
            <v>63</v>
          </cell>
          <cell r="G11">
            <v>22</v>
          </cell>
          <cell r="H11" t="str">
            <v>XLPE/SWA/ LSOH</v>
          </cell>
          <cell r="J11" t="str">
            <v>2 x 3c 16</v>
          </cell>
          <cell r="K11" t="str">
            <v>1c 16</v>
          </cell>
          <cell r="L11">
            <v>6.5666666666666664</v>
          </cell>
          <cell r="M11">
            <v>6.5666666666666664</v>
          </cell>
          <cell r="N11">
            <v>6.5666666666666664</v>
          </cell>
          <cell r="S11" t="str">
            <v>100mA ELCB + S/D STARTER</v>
          </cell>
        </row>
        <row r="12">
          <cell r="B12" t="str">
            <v>CONTROLS</v>
          </cell>
          <cell r="C12" t="str">
            <v>SP</v>
          </cell>
          <cell r="E12">
            <v>10</v>
          </cell>
          <cell r="G12">
            <v>22</v>
          </cell>
          <cell r="H12" t="str">
            <v>XLPE/SWA/ LSOH</v>
          </cell>
          <cell r="J12" t="str">
            <v>2c 1.5</v>
          </cell>
          <cell r="L12">
            <v>0.5</v>
          </cell>
        </row>
        <row r="25">
          <cell r="B25" t="str">
            <v>CONNECTED TO :</v>
          </cell>
          <cell r="C25" t="str">
            <v>SB-H-3-F</v>
          </cell>
          <cell r="G25" t="str">
            <v>TOTAL CONNECTED LOAD PER PHASE</v>
          </cell>
          <cell r="L25">
            <v>7.0666666666666664</v>
          </cell>
          <cell r="M25">
            <v>6.5666666666666664</v>
          </cell>
          <cell r="N25">
            <v>6.5666666666666664</v>
          </cell>
          <cell r="S25" t="str">
            <v>TOTAL</v>
          </cell>
        </row>
        <row r="26">
          <cell r="B26" t="str">
            <v xml:space="preserve">MAX. DEMAND (3 PH.):   </v>
          </cell>
          <cell r="C26">
            <v>20.2</v>
          </cell>
          <cell r="D26" t="str">
            <v>kW</v>
          </cell>
          <cell r="E26" t="str">
            <v xml:space="preserve">AT </v>
          </cell>
          <cell r="F26">
            <v>1</v>
          </cell>
          <cell r="G26" t="str">
            <v>DIVERSITY</v>
          </cell>
          <cell r="K26" t="str">
            <v xml:space="preserve">TOTAL CONNECTED LOAD(3 PH)   </v>
          </cell>
          <cell r="O26">
            <v>20.2</v>
          </cell>
          <cell r="P26" t="str">
            <v>kW</v>
          </cell>
        </row>
        <row r="28">
          <cell r="B28" t="str">
            <v>CONTRACTOR:</v>
          </cell>
          <cell r="L28" t="str">
            <v xml:space="preserve">TEL: </v>
          </cell>
          <cell r="P28" t="str">
            <v xml:space="preserve">FAX: </v>
          </cell>
        </row>
        <row r="30">
          <cell r="B30" t="str">
            <v>Type of Meter (Rating of Incomer):</v>
          </cell>
          <cell r="G30" t="str">
            <v>(1)  Upto 60A</v>
          </cell>
          <cell r="I30" t="str">
            <v>(2)  Upto 100 A</v>
          </cell>
          <cell r="L30" t="str">
            <v>(3)  125 - 160 A</v>
          </cell>
          <cell r="N30" t="str">
            <v>(4)  LV CT ..2500/5.......A</v>
          </cell>
          <cell r="R30" t="str">
            <v>HV  CT .........../..........A</v>
          </cell>
        </row>
        <row r="31">
          <cell r="G31" t="str">
            <v xml:space="preserve">       (1 Phase)</v>
          </cell>
          <cell r="I31" t="str">
            <v xml:space="preserve">       (3 Phase)</v>
          </cell>
          <cell r="L31" t="str">
            <v xml:space="preserve">       </v>
          </cell>
        </row>
      </sheetData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>
        <row r="1">
          <cell r="A1" t="str">
            <v>PROJECT: DUBAI MARINA MALL &amp; HOTEL/APARTMENT</v>
          </cell>
          <cell r="C1" t="str">
            <v xml:space="preserve">         Meinhardt Singapore Pte. Ltd</v>
          </cell>
          <cell r="I1" t="str">
            <v>DETAILS OF CONNECTED LOAD/ MAX. DEMAND</v>
          </cell>
        </row>
        <row r="2">
          <cell r="I2" t="str">
            <v>OWNER:</v>
          </cell>
          <cell r="J2" t="str">
            <v>EMAAR PROPERTIES PSJC</v>
          </cell>
          <cell r="O2" t="str">
            <v>AREA:</v>
          </cell>
          <cell r="Q2" t="str">
            <v>DUBAI,UNITED ARAB EMIRATES</v>
          </cell>
        </row>
        <row r="3">
          <cell r="E3" t="str">
            <v xml:space="preserve"> </v>
          </cell>
          <cell r="O3" t="str">
            <v xml:space="preserve"> LOCATION OF MCP: </v>
          </cell>
          <cell r="R3" t="str">
            <v>GROUND FLOOR</v>
          </cell>
        </row>
        <row r="4">
          <cell r="A4" t="str">
            <v>Fax: 6273 0788</v>
          </cell>
          <cell r="B4" t="str">
            <v>SBE-H-G-3 (FCC)</v>
          </cell>
          <cell r="I4" t="str">
            <v>CONSULTANT:MEINHARDT SINGAPORE PTE LTD.</v>
          </cell>
        </row>
        <row r="6">
          <cell r="A6" t="str">
            <v>CIRCUIT/</v>
          </cell>
          <cell r="B6" t="str">
            <v>SP/</v>
          </cell>
          <cell r="C6" t="str">
            <v>RATING - AMPS</v>
          </cell>
          <cell r="F6" t="str">
            <v>Isc FAULT</v>
          </cell>
          <cell r="G6" t="str">
            <v>FR or
XLPE</v>
          </cell>
          <cell r="H6" t="str">
            <v>CABLE SIZE</v>
          </cell>
          <cell r="J6" t="str">
            <v>CPC
SIZE-</v>
          </cell>
          <cell r="K6" t="str">
            <v>CONNECTED LOAD - KW</v>
          </cell>
          <cell r="N6" t="str">
            <v>PROPOSED TYPE &amp; NO. OF
KWH METERS</v>
          </cell>
        </row>
        <row r="7">
          <cell r="A7" t="str">
            <v>FEEDER
DB No.</v>
          </cell>
          <cell r="B7" t="str">
            <v>TP</v>
          </cell>
          <cell r="C7" t="str">
            <v>F/S
ISO</v>
          </cell>
          <cell r="D7" t="str">
            <v>MCCB</v>
          </cell>
          <cell r="E7" t="str">
            <v>MCB</v>
          </cell>
          <cell r="F7" t="str">
            <v>DUTY
KA</v>
          </cell>
          <cell r="G7" t="str">
            <v>SWA/
LS0H</v>
          </cell>
          <cell r="H7" t="str">
            <v>2/4 X1C
mm^2</v>
          </cell>
          <cell r="I7" t="str">
            <v>2/3/4C
mm^2</v>
          </cell>
          <cell r="J7" t="str">
            <v>1c
mm^2</v>
          </cell>
          <cell r="K7" t="str">
            <v>R-PH
KW</v>
          </cell>
          <cell r="L7" t="str">
            <v>Y-PH
KW</v>
          </cell>
          <cell r="M7" t="str">
            <v>B-PH
KW</v>
          </cell>
          <cell r="N7" t="str">
            <v>1 - PH
(1)</v>
          </cell>
          <cell r="O7" t="str">
            <v>3 - PH
(2)</v>
          </cell>
          <cell r="P7" t="str">
            <v>3 - PH
(3)</v>
          </cell>
          <cell r="Q7" t="str">
            <v>LV/H
CT (4)</v>
          </cell>
          <cell r="R7" t="str">
            <v>REMARKS</v>
          </cell>
        </row>
        <row r="8">
          <cell r="A8" t="str">
            <v>INCOMER (NON AUTO)</v>
          </cell>
          <cell r="B8" t="str">
            <v>TP</v>
          </cell>
          <cell r="D8">
            <v>300</v>
          </cell>
          <cell r="F8">
            <v>50</v>
          </cell>
          <cell r="G8" t="str">
            <v>FR/SWA/ LSOH</v>
          </cell>
          <cell r="I8" t="str">
            <v>4c 185</v>
          </cell>
          <cell r="J8" t="str">
            <v>1c 95</v>
          </cell>
          <cell r="K8">
            <v>47.5</v>
          </cell>
          <cell r="L8">
            <v>42.5</v>
          </cell>
          <cell r="M8">
            <v>42.5</v>
          </cell>
        </row>
        <row r="9">
          <cell r="A9" t="str">
            <v>OUTGOING</v>
          </cell>
        </row>
        <row r="10">
          <cell r="A10" t="str">
            <v>I-LMCP-DX--FCU-H-G-1</v>
          </cell>
          <cell r="B10">
            <v>3</v>
          </cell>
          <cell r="D10">
            <v>40</v>
          </cell>
          <cell r="F10">
            <v>22</v>
          </cell>
          <cell r="G10" t="str">
            <v>XLPE/SWA/ LSOH</v>
          </cell>
          <cell r="I10" t="str">
            <v>4c 10</v>
          </cell>
          <cell r="J10" t="str">
            <v>1c 10</v>
          </cell>
          <cell r="K10">
            <v>1.8333333333333333</v>
          </cell>
          <cell r="L10">
            <v>1.3333333333333333</v>
          </cell>
          <cell r="M10">
            <v>1.3333333333333333</v>
          </cell>
        </row>
        <row r="11">
          <cell r="A11" t="str">
            <v>I-LMCP-DX-FCU-H-LG-1</v>
          </cell>
          <cell r="B11">
            <v>3</v>
          </cell>
          <cell r="D11">
            <v>63</v>
          </cell>
          <cell r="F11">
            <v>22</v>
          </cell>
          <cell r="G11" t="str">
            <v>XLPE/SWA/ LSOH</v>
          </cell>
          <cell r="I11" t="str">
            <v>4c 16</v>
          </cell>
          <cell r="J11" t="str">
            <v>1c 16</v>
          </cell>
          <cell r="K11">
            <v>4.5</v>
          </cell>
          <cell r="L11">
            <v>4</v>
          </cell>
          <cell r="M11">
            <v>4</v>
          </cell>
        </row>
        <row r="12">
          <cell r="A12" t="str">
            <v>I-LMCP-DX-FCU-H-LG-2</v>
          </cell>
          <cell r="B12">
            <v>3</v>
          </cell>
          <cell r="D12">
            <v>40</v>
          </cell>
          <cell r="F12">
            <v>22</v>
          </cell>
          <cell r="G12" t="str">
            <v>XLPE/SWA/ LSOH</v>
          </cell>
          <cell r="I12" t="str">
            <v>4c 10</v>
          </cell>
          <cell r="J12" t="str">
            <v>1c 10</v>
          </cell>
          <cell r="K12">
            <v>1</v>
          </cell>
          <cell r="L12">
            <v>0.5</v>
          </cell>
          <cell r="M12">
            <v>0.5</v>
          </cell>
        </row>
        <row r="13">
          <cell r="A13" t="str">
            <v>I-LMCP-DX-FCU-H-LGM-1</v>
          </cell>
          <cell r="B13">
            <v>3</v>
          </cell>
          <cell r="D13">
            <v>40</v>
          </cell>
          <cell r="F13">
            <v>22</v>
          </cell>
          <cell r="G13" t="str">
            <v>XLPE/SWA/ LSOH</v>
          </cell>
          <cell r="I13" t="str">
            <v>4c 10</v>
          </cell>
          <cell r="J13" t="str">
            <v>1c 10</v>
          </cell>
          <cell r="K13">
            <v>1.8333333333333333</v>
          </cell>
          <cell r="L13">
            <v>1.3333333333333333</v>
          </cell>
          <cell r="M13">
            <v>1.3333333333333333</v>
          </cell>
        </row>
        <row r="14">
          <cell r="A14" t="str">
            <v>I-LMCP-DX-FCU-H-LGM-2</v>
          </cell>
          <cell r="B14">
            <v>3</v>
          </cell>
          <cell r="D14">
            <v>40</v>
          </cell>
          <cell r="F14">
            <v>22</v>
          </cell>
          <cell r="G14" t="str">
            <v>XLPE/SWA/ LSOH</v>
          </cell>
          <cell r="I14" t="str">
            <v>4c 10</v>
          </cell>
          <cell r="J14" t="str">
            <v>1c 10</v>
          </cell>
          <cell r="K14">
            <v>1.8333333333333333</v>
          </cell>
          <cell r="L14">
            <v>1.3333333333333333</v>
          </cell>
          <cell r="M14">
            <v>1.3333333333333333</v>
          </cell>
        </row>
        <row r="15">
          <cell r="A15" t="str">
            <v>I-LMCP-DX-FCU-H-LGM-3</v>
          </cell>
          <cell r="B15">
            <v>3</v>
          </cell>
          <cell r="D15">
            <v>40</v>
          </cell>
          <cell r="F15">
            <v>22</v>
          </cell>
          <cell r="G15" t="str">
            <v>XLPE/SWA/ LSOH</v>
          </cell>
          <cell r="I15" t="str">
            <v>4c 10</v>
          </cell>
          <cell r="J15" t="str">
            <v>1c 10</v>
          </cell>
          <cell r="K15">
            <v>3.1666666666666665</v>
          </cell>
          <cell r="L15">
            <v>2.6666666666666665</v>
          </cell>
          <cell r="M15">
            <v>2.6666666666666665</v>
          </cell>
        </row>
        <row r="16">
          <cell r="A16" t="str">
            <v>I-LMCP-DX-FCU-H-LGM-4</v>
          </cell>
          <cell r="B16">
            <v>3</v>
          </cell>
          <cell r="D16">
            <v>40</v>
          </cell>
          <cell r="F16">
            <v>22</v>
          </cell>
          <cell r="G16" t="str">
            <v>XLPE/SWA/ LSOH</v>
          </cell>
          <cell r="I16" t="str">
            <v>4c 10</v>
          </cell>
          <cell r="J16" t="str">
            <v>1c 10</v>
          </cell>
          <cell r="K16">
            <v>3.1666666666666665</v>
          </cell>
          <cell r="L16">
            <v>2.6666666666666665</v>
          </cell>
          <cell r="M16">
            <v>2.6666666666666665</v>
          </cell>
        </row>
        <row r="17">
          <cell r="A17" t="str">
            <v>I-LMCP-DX-FCU-H-LGM-5</v>
          </cell>
          <cell r="B17">
            <v>3</v>
          </cell>
          <cell r="D17">
            <v>40</v>
          </cell>
          <cell r="F17">
            <v>22</v>
          </cell>
          <cell r="G17" t="str">
            <v>XLPE/SWA/ LSOH</v>
          </cell>
          <cell r="I17" t="str">
            <v>4c 10</v>
          </cell>
          <cell r="J17" t="str">
            <v>1c 10</v>
          </cell>
          <cell r="K17">
            <v>5.833333333333333</v>
          </cell>
          <cell r="L17">
            <v>5.333333333333333</v>
          </cell>
          <cell r="M17">
            <v>5.333333333333333</v>
          </cell>
        </row>
        <row r="18">
          <cell r="A18" t="str">
            <v>PA SYSTEM</v>
          </cell>
          <cell r="B18">
            <v>3</v>
          </cell>
          <cell r="D18">
            <v>63</v>
          </cell>
          <cell r="F18">
            <v>22</v>
          </cell>
          <cell r="G18" t="str">
            <v>XLPE/SWA/LSOH</v>
          </cell>
          <cell r="I18" t="str">
            <v>4c 16</v>
          </cell>
          <cell r="J18" t="str">
            <v>1c 16</v>
          </cell>
          <cell r="K18">
            <v>5.333333333333333</v>
          </cell>
          <cell r="L18">
            <v>5.333333333333333</v>
          </cell>
          <cell r="M18">
            <v>5.333333333333333</v>
          </cell>
        </row>
        <row r="19">
          <cell r="A19" t="str">
            <v>I-UPS-H-1</v>
          </cell>
          <cell r="B19">
            <v>3</v>
          </cell>
          <cell r="D19">
            <v>63</v>
          </cell>
          <cell r="F19">
            <v>22</v>
          </cell>
          <cell r="G19" t="str">
            <v>XLPE/SWA/LSOH</v>
          </cell>
          <cell r="I19" t="str">
            <v>4c 16</v>
          </cell>
          <cell r="J19" t="str">
            <v>1c 16</v>
          </cell>
          <cell r="K19">
            <v>8</v>
          </cell>
          <cell r="L19">
            <v>8</v>
          </cell>
          <cell r="M19">
            <v>8</v>
          </cell>
        </row>
        <row r="20">
          <cell r="A20" t="str">
            <v>I-UPS-H-2</v>
          </cell>
          <cell r="B20">
            <v>3</v>
          </cell>
          <cell r="D20">
            <v>63</v>
          </cell>
          <cell r="F20">
            <v>22</v>
          </cell>
          <cell r="G20" t="str">
            <v>XLPE/SWA/LSOH</v>
          </cell>
          <cell r="I20" t="str">
            <v>4c 16</v>
          </cell>
          <cell r="J20" t="str">
            <v>1c 16</v>
          </cell>
          <cell r="K20">
            <v>8</v>
          </cell>
          <cell r="L20">
            <v>8</v>
          </cell>
          <cell r="M20">
            <v>8</v>
          </cell>
        </row>
        <row r="21">
          <cell r="A21" t="str">
            <v>CCTV SYSTEM OUTLET (4)</v>
          </cell>
          <cell r="B21">
            <v>1</v>
          </cell>
          <cell r="D21">
            <v>20</v>
          </cell>
          <cell r="F21">
            <v>22</v>
          </cell>
          <cell r="G21" t="str">
            <v>XLPE/SWA/LSOH</v>
          </cell>
          <cell r="I21" t="str">
            <v>2c 4</v>
          </cell>
          <cell r="J21" t="str">
            <v>1c 4</v>
          </cell>
          <cell r="K21">
            <v>1</v>
          </cell>
        </row>
        <row r="22">
          <cell r="A22" t="str">
            <v>CCTV SYSTEM OUTLET (4)</v>
          </cell>
          <cell r="B22">
            <v>1</v>
          </cell>
          <cell r="D22">
            <v>20</v>
          </cell>
          <cell r="F22">
            <v>22</v>
          </cell>
          <cell r="G22" t="str">
            <v>XLPE/SWA/LSOH</v>
          </cell>
          <cell r="I22" t="str">
            <v>2c 4</v>
          </cell>
          <cell r="J22" t="str">
            <v>1c 4</v>
          </cell>
          <cell r="L22">
            <v>1</v>
          </cell>
        </row>
        <row r="23">
          <cell r="A23" t="str">
            <v>SMOKE CONTROL SYSTEM OUTLET (2)</v>
          </cell>
          <cell r="B23">
            <v>1</v>
          </cell>
          <cell r="D23">
            <v>20</v>
          </cell>
          <cell r="F23">
            <v>22</v>
          </cell>
          <cell r="G23" t="str">
            <v>XLPE/SWA/LSOH</v>
          </cell>
          <cell r="I23" t="str">
            <v>2c 4</v>
          </cell>
          <cell r="J23" t="str">
            <v>1c 4</v>
          </cell>
          <cell r="M23">
            <v>1</v>
          </cell>
        </row>
        <row r="24">
          <cell r="A24" t="str">
            <v>WATER PUMP CONTROL PANEL OUTLET (2)</v>
          </cell>
          <cell r="B24">
            <v>1</v>
          </cell>
          <cell r="D24">
            <v>20</v>
          </cell>
          <cell r="F24">
            <v>22</v>
          </cell>
          <cell r="G24" t="str">
            <v>XLPE/SWA/LSOH</v>
          </cell>
          <cell r="I24" t="str">
            <v>2c 4</v>
          </cell>
          <cell r="J24" t="str">
            <v>1c 4</v>
          </cell>
          <cell r="K24">
            <v>1</v>
          </cell>
        </row>
        <row r="25">
          <cell r="A25" t="str">
            <v>FACP CONVENIENCE OUTLET (2)</v>
          </cell>
          <cell r="B25">
            <v>1</v>
          </cell>
          <cell r="D25">
            <v>20</v>
          </cell>
          <cell r="F25">
            <v>22</v>
          </cell>
          <cell r="G25" t="str">
            <v>XLPE/SWA/LSOH</v>
          </cell>
          <cell r="I25" t="str">
            <v>2c 4</v>
          </cell>
          <cell r="J25" t="str">
            <v>1c 4</v>
          </cell>
          <cell r="L25">
            <v>1</v>
          </cell>
        </row>
        <row r="26">
          <cell r="A26" t="str">
            <v>GENERAL PURPOSE CONVENIENCE OUTLET (2)</v>
          </cell>
          <cell r="B26">
            <v>1</v>
          </cell>
          <cell r="D26">
            <v>20</v>
          </cell>
          <cell r="F26">
            <v>22</v>
          </cell>
          <cell r="G26" t="str">
            <v>XLPE/SWA/LSOH</v>
          </cell>
          <cell r="I26" t="str">
            <v>2c 4</v>
          </cell>
          <cell r="J26" t="str">
            <v>1c 4</v>
          </cell>
          <cell r="M26">
            <v>1</v>
          </cell>
        </row>
        <row r="27">
          <cell r="A27" t="str">
            <v>GENERAL PURPOSE CONVENIENCE OUTLET (2)</v>
          </cell>
          <cell r="B27">
            <v>1</v>
          </cell>
          <cell r="D27">
            <v>20</v>
          </cell>
          <cell r="F27">
            <v>22</v>
          </cell>
          <cell r="G27" t="str">
            <v>XLPE/SWA/LSOH</v>
          </cell>
          <cell r="I27" t="str">
            <v>2c 4</v>
          </cell>
          <cell r="J27" t="str">
            <v>1c 4</v>
          </cell>
          <cell r="K27">
            <v>1</v>
          </cell>
        </row>
        <row r="28">
          <cell r="A28" t="str">
            <v xml:space="preserve"> </v>
          </cell>
        </row>
        <row r="29">
          <cell r="A29" t="str">
            <v xml:space="preserve">CONNECTED TO : </v>
          </cell>
          <cell r="B29" t="str">
            <v>MSB-H-3</v>
          </cell>
          <cell r="F29" t="str">
            <v>TOTAL CONNECTED LOAD PER PHASE</v>
          </cell>
          <cell r="K29">
            <v>47.5</v>
          </cell>
          <cell r="L29">
            <v>42.5</v>
          </cell>
          <cell r="M29">
            <v>42.5</v>
          </cell>
          <cell r="R29" t="str">
            <v>TOTAL</v>
          </cell>
        </row>
        <row r="32">
          <cell r="A32" t="str">
            <v xml:space="preserve">MAX. DEMAND (3 PH.):   </v>
          </cell>
          <cell r="B32">
            <v>119.25</v>
          </cell>
          <cell r="C32" t="str">
            <v>kW</v>
          </cell>
          <cell r="D32" t="str">
            <v xml:space="preserve">AT </v>
          </cell>
          <cell r="E32">
            <v>0.9</v>
          </cell>
          <cell r="F32" t="str">
            <v>DIVERSITY</v>
          </cell>
          <cell r="J32" t="str">
            <v xml:space="preserve">TOTAL CONNECTED LOAD(3 PH)   </v>
          </cell>
          <cell r="N32">
            <v>132.5</v>
          </cell>
          <cell r="O32" t="str">
            <v>kW</v>
          </cell>
        </row>
        <row r="35">
          <cell r="A35" t="str">
            <v>CONTRACTOR:</v>
          </cell>
          <cell r="K35" t="str">
            <v xml:space="preserve">TEL: </v>
          </cell>
          <cell r="O35" t="str">
            <v xml:space="preserve">FAX: </v>
          </cell>
        </row>
        <row r="37">
          <cell r="A37" t="str">
            <v>Type of Meter (Rating of Incomer):</v>
          </cell>
          <cell r="F37" t="str">
            <v>(1)  Upto 60A</v>
          </cell>
          <cell r="H37" t="str">
            <v>(2)  Upto 100 A</v>
          </cell>
          <cell r="K37" t="str">
            <v>(3)  125 - 160 A</v>
          </cell>
          <cell r="M37" t="str">
            <v>(4)  LV CT ..2500/5.......A</v>
          </cell>
          <cell r="Q37" t="str">
            <v>HV  CT .........../..........A</v>
          </cell>
        </row>
        <row r="38">
          <cell r="F38" t="str">
            <v xml:space="preserve">       (1 Phase)</v>
          </cell>
          <cell r="H38" t="str">
            <v xml:space="preserve">       (3 Phase)</v>
          </cell>
          <cell r="K38" t="str">
            <v xml:space="preserve">       </v>
          </cell>
        </row>
      </sheetData>
      <sheetData sheetId="82">
        <row r="1">
          <cell r="A1" t="str">
            <v>PROJECT: DUBAI MARINA MALL &amp; HOTEL/APARTMENTS</v>
          </cell>
          <cell r="I1" t="str">
            <v>DETAILS OF CONNECTED LOAD/ MAX. DEMAND</v>
          </cell>
        </row>
        <row r="2">
          <cell r="I2" t="str">
            <v>OWNER:</v>
          </cell>
          <cell r="J2" t="str">
            <v>EMAAR PROPERTIES PSJC</v>
          </cell>
          <cell r="O2" t="str">
            <v>AREA:</v>
          </cell>
          <cell r="Q2" t="str">
            <v>DUBAI,UNITED ARAB EMIRATES</v>
          </cell>
        </row>
        <row r="3">
          <cell r="E3" t="str">
            <v xml:space="preserve"> </v>
          </cell>
          <cell r="O3" t="str">
            <v xml:space="preserve"> LOCATION OF MCP: </v>
          </cell>
          <cell r="R3" t="str">
            <v>GROUND FLOOR</v>
          </cell>
        </row>
        <row r="4">
          <cell r="A4" t="str">
            <v xml:space="preserve">MDB / SMDB </v>
          </cell>
          <cell r="B4" t="str">
            <v>LMCP-DX-FCU-H-G-1</v>
          </cell>
          <cell r="I4" t="str">
            <v>CONSULTANT:MEINHARDT SINGAPORE PTE LTD.</v>
          </cell>
        </row>
        <row r="6">
          <cell r="A6" t="str">
            <v>CIRCUIT/</v>
          </cell>
          <cell r="B6" t="str">
            <v>SP/</v>
          </cell>
          <cell r="C6" t="str">
            <v>RATING - AMPS</v>
          </cell>
          <cell r="F6" t="str">
            <v>Isc FAULT</v>
          </cell>
          <cell r="G6" t="str">
            <v>FR or
XLPE</v>
          </cell>
          <cell r="H6" t="str">
            <v>CABLE SIZE</v>
          </cell>
          <cell r="J6" t="str">
            <v>CPC
SIZE-</v>
          </cell>
          <cell r="K6" t="str">
            <v>CONNECTED LOAD - KW</v>
          </cell>
          <cell r="N6" t="str">
            <v>PROPOSED TYPE &amp; NO. OF
KWH METERS</v>
          </cell>
        </row>
        <row r="7">
          <cell r="A7" t="str">
            <v>FEEDER
DB No.</v>
          </cell>
          <cell r="B7" t="str">
            <v>TP</v>
          </cell>
          <cell r="C7" t="str">
            <v>F/S
ISO</v>
          </cell>
          <cell r="D7" t="str">
            <v>MCCB</v>
          </cell>
          <cell r="E7" t="str">
            <v>MCB</v>
          </cell>
          <cell r="F7" t="str">
            <v>DUTY
KA</v>
          </cell>
          <cell r="G7" t="str">
            <v>SWA/
LS0H</v>
          </cell>
          <cell r="H7" t="str">
            <v>2/4 X1C
mm^2</v>
          </cell>
          <cell r="I7" t="str">
            <v>2/3/4C
mm^2</v>
          </cell>
          <cell r="J7" t="str">
            <v>1c
mm^2</v>
          </cell>
          <cell r="K7" t="str">
            <v>R-PH
KW</v>
          </cell>
          <cell r="L7" t="str">
            <v>Y-PH
KW</v>
          </cell>
          <cell r="M7" t="str">
            <v>B-PH
KW</v>
          </cell>
          <cell r="N7" t="str">
            <v>1 - PH
(1)</v>
          </cell>
          <cell r="O7" t="str">
            <v>3 - PH
(2)</v>
          </cell>
          <cell r="P7" t="str">
            <v>3 - PH
(3)</v>
          </cell>
          <cell r="Q7" t="str">
            <v>LV/H
CT (4)</v>
          </cell>
          <cell r="R7" t="str">
            <v>REMARKS</v>
          </cell>
        </row>
        <row r="8">
          <cell r="A8" t="str">
            <v>INCOMER (NON AUTO)</v>
          </cell>
          <cell r="B8" t="str">
            <v>TP</v>
          </cell>
          <cell r="D8">
            <v>40</v>
          </cell>
          <cell r="F8">
            <v>22</v>
          </cell>
          <cell r="G8" t="str">
            <v>XLPE/SWA/ LSOH</v>
          </cell>
          <cell r="I8" t="str">
            <v>4c 10</v>
          </cell>
          <cell r="J8" t="str">
            <v>1c 10</v>
          </cell>
          <cell r="K8">
            <v>1.8333333333333333</v>
          </cell>
          <cell r="L8">
            <v>1.3333333333333333</v>
          </cell>
          <cell r="M8">
            <v>1.3333333333333333</v>
          </cell>
        </row>
        <row r="9">
          <cell r="A9" t="str">
            <v>OUTGOING</v>
          </cell>
        </row>
        <row r="10">
          <cell r="A10" t="str">
            <v>DX/FCU-H-G-1&amp; DX/FCU-H-G-1 (STAND BY)</v>
          </cell>
          <cell r="B10" t="str">
            <v>TP</v>
          </cell>
          <cell r="D10">
            <v>32</v>
          </cell>
          <cell r="F10">
            <v>22</v>
          </cell>
          <cell r="G10" t="str">
            <v>XLPE/SWA/ LSOH</v>
          </cell>
          <cell r="I10" t="str">
            <v>3c 6</v>
          </cell>
          <cell r="J10" t="str">
            <v>1c 6</v>
          </cell>
          <cell r="K10">
            <v>1.3333333333333333</v>
          </cell>
          <cell r="L10">
            <v>1.3333333333333333</v>
          </cell>
          <cell r="M10">
            <v>1.3333333333333333</v>
          </cell>
          <cell r="R10" t="str">
            <v>100mA ELCB + DOL STARTER</v>
          </cell>
        </row>
        <row r="12">
          <cell r="A12" t="str">
            <v>CONTROLS</v>
          </cell>
          <cell r="B12" t="str">
            <v>SP</v>
          </cell>
          <cell r="D12">
            <v>10</v>
          </cell>
          <cell r="F12">
            <v>22</v>
          </cell>
          <cell r="G12" t="str">
            <v>XLPE/SWA/ LSOH</v>
          </cell>
          <cell r="I12" t="str">
            <v>2c 1.5</v>
          </cell>
          <cell r="K12">
            <v>0.5</v>
          </cell>
        </row>
        <row r="18">
          <cell r="A18" t="str">
            <v xml:space="preserve"> </v>
          </cell>
        </row>
        <row r="19">
          <cell r="A19" t="str">
            <v>CONNECTED TO :</v>
          </cell>
          <cell r="B19" t="str">
            <v>SBE-H-G-3 (FCC)</v>
          </cell>
          <cell r="F19" t="str">
            <v>TOTAL CONNECTED LOAD PER PHASE</v>
          </cell>
          <cell r="K19">
            <v>1.8333333333333333</v>
          </cell>
          <cell r="L19">
            <v>1.3333333333333333</v>
          </cell>
          <cell r="M19">
            <v>1.3333333333333333</v>
          </cell>
          <cell r="R19" t="str">
            <v>TOTAL</v>
          </cell>
        </row>
        <row r="22">
          <cell r="A22" t="str">
            <v xml:space="preserve">MAX. DEMAND (3 PH.):   </v>
          </cell>
          <cell r="B22">
            <v>4.5</v>
          </cell>
          <cell r="C22" t="str">
            <v>kW</v>
          </cell>
          <cell r="D22" t="str">
            <v xml:space="preserve">AT </v>
          </cell>
          <cell r="E22">
            <v>1</v>
          </cell>
          <cell r="F22" t="str">
            <v>DIVERSITY</v>
          </cell>
          <cell r="J22" t="str">
            <v xml:space="preserve">TOTAL CONNECTED LOAD(3 PH)   </v>
          </cell>
          <cell r="N22">
            <v>4.5</v>
          </cell>
          <cell r="O22" t="str">
            <v>kW</v>
          </cell>
        </row>
        <row r="25">
          <cell r="A25" t="str">
            <v>CONTRACTOR:</v>
          </cell>
          <cell r="K25" t="str">
            <v xml:space="preserve">TEL: </v>
          </cell>
          <cell r="O25" t="str">
            <v xml:space="preserve">FAX: </v>
          </cell>
        </row>
        <row r="27">
          <cell r="A27" t="str">
            <v>Type of Meter (Rating of Incomer):</v>
          </cell>
          <cell r="F27" t="str">
            <v>(1)  Upto 60A</v>
          </cell>
          <cell r="H27" t="str">
            <v>(2)  Upto 100 A</v>
          </cell>
          <cell r="K27" t="str">
            <v>(3)  125 - 160 A</v>
          </cell>
          <cell r="M27" t="str">
            <v>(4)  LV CT ..2500/5.......A</v>
          </cell>
          <cell r="Q27" t="str">
            <v>HV  CT .........../..........A</v>
          </cell>
        </row>
        <row r="28">
          <cell r="F28" t="str">
            <v xml:space="preserve">       (1 Phase)</v>
          </cell>
          <cell r="H28" t="str">
            <v xml:space="preserve">       (3 Phase)</v>
          </cell>
          <cell r="K28" t="str">
            <v xml:space="preserve">       </v>
          </cell>
        </row>
      </sheetData>
      <sheetData sheetId="83">
        <row r="1">
          <cell r="A1" t="str">
            <v>PROJECT: DUBAI MARINA MALL &amp; HOTEL/APARTMENTS</v>
          </cell>
          <cell r="I1" t="str">
            <v>DETAILS OF CONNECTED LOAD/ MAX. DEMAND</v>
          </cell>
        </row>
        <row r="2">
          <cell r="I2" t="str">
            <v>OWNER:</v>
          </cell>
          <cell r="J2" t="str">
            <v>EMAAR PROPERTIES PSJC</v>
          </cell>
          <cell r="O2" t="str">
            <v>AREA:</v>
          </cell>
          <cell r="Q2" t="str">
            <v>DUBAI,UNITED ARAB EMIRATES</v>
          </cell>
        </row>
        <row r="3">
          <cell r="E3" t="str">
            <v xml:space="preserve"> </v>
          </cell>
          <cell r="O3" t="str">
            <v xml:space="preserve"> LOCATION OF MCP: </v>
          </cell>
          <cell r="R3" t="str">
            <v>LOWER GROUND</v>
          </cell>
        </row>
        <row r="4">
          <cell r="A4" t="str">
            <v xml:space="preserve">MDB / SMDB </v>
          </cell>
          <cell r="B4" t="str">
            <v>LMCP-DX-FCU-H-LG-1</v>
          </cell>
          <cell r="I4" t="str">
            <v>CONSULTANT:MEINHARDT SINGAPORE PTE LTD.</v>
          </cell>
        </row>
        <row r="6">
          <cell r="A6" t="str">
            <v>CIRCUIT/</v>
          </cell>
          <cell r="B6" t="str">
            <v>SP/</v>
          </cell>
          <cell r="C6" t="str">
            <v>RATING - AMPS</v>
          </cell>
          <cell r="F6" t="str">
            <v>Isc FAULT</v>
          </cell>
          <cell r="G6" t="str">
            <v>FR or
XLPE</v>
          </cell>
          <cell r="H6" t="str">
            <v>CABLE SIZE</v>
          </cell>
          <cell r="J6" t="str">
            <v>CPC
SIZE-</v>
          </cell>
          <cell r="K6" t="str">
            <v>CONNECTED LOAD - KW</v>
          </cell>
          <cell r="N6" t="str">
            <v>PROPOSED TYPE &amp; NO. OF
KWH METERS</v>
          </cell>
        </row>
        <row r="7">
          <cell r="A7" t="str">
            <v>FEEDER
DB No.</v>
          </cell>
          <cell r="B7" t="str">
            <v>TP</v>
          </cell>
          <cell r="C7" t="str">
            <v>F/S
ISO</v>
          </cell>
          <cell r="D7" t="str">
            <v>MCCB</v>
          </cell>
          <cell r="E7" t="str">
            <v>MCB</v>
          </cell>
          <cell r="F7" t="str">
            <v>DUTY
KA</v>
          </cell>
          <cell r="G7" t="str">
            <v>SWA/
LS0H</v>
          </cell>
          <cell r="H7" t="str">
            <v>2/4 X1C
mm^2</v>
          </cell>
          <cell r="I7" t="str">
            <v>2/3/4C
mm^2</v>
          </cell>
          <cell r="J7" t="str">
            <v>1c
mm^2</v>
          </cell>
          <cell r="K7" t="str">
            <v>R-PH
KW</v>
          </cell>
          <cell r="L7" t="str">
            <v>Y-PH
KW</v>
          </cell>
          <cell r="M7" t="str">
            <v>B-PH
KW</v>
          </cell>
          <cell r="N7" t="str">
            <v>1 - PH
(1)</v>
          </cell>
          <cell r="O7" t="str">
            <v>3 - PH
(2)</v>
          </cell>
          <cell r="P7" t="str">
            <v>3 - PH
(3)</v>
          </cell>
          <cell r="Q7" t="str">
            <v>LV/H
CT (4)</v>
          </cell>
          <cell r="R7" t="str">
            <v>REMARKS</v>
          </cell>
        </row>
        <row r="8">
          <cell r="A8" t="str">
            <v>INCOMER (NON AUTO)</v>
          </cell>
          <cell r="B8" t="str">
            <v>TP</v>
          </cell>
          <cell r="D8">
            <v>63</v>
          </cell>
          <cell r="F8">
            <v>22</v>
          </cell>
          <cell r="G8" t="str">
            <v>XLPE/SWA/ LSOH</v>
          </cell>
          <cell r="I8" t="str">
            <v>4c 16</v>
          </cell>
          <cell r="J8" t="str">
            <v>1c 16</v>
          </cell>
          <cell r="K8">
            <v>4.5</v>
          </cell>
          <cell r="L8">
            <v>4</v>
          </cell>
          <cell r="M8">
            <v>4</v>
          </cell>
        </row>
        <row r="9">
          <cell r="A9" t="str">
            <v>OUTGOING</v>
          </cell>
        </row>
        <row r="10">
          <cell r="A10" t="str">
            <v>DX/FCU-H-LG-1a &amp; DX/FCU-H-LG-1a (STAND BY)</v>
          </cell>
          <cell r="B10" t="str">
            <v>TP</v>
          </cell>
          <cell r="D10">
            <v>40</v>
          </cell>
          <cell r="F10">
            <v>22</v>
          </cell>
          <cell r="G10" t="str">
            <v>XLPE/SWA/ LSOH</v>
          </cell>
          <cell r="I10" t="str">
            <v>3c 10</v>
          </cell>
          <cell r="J10" t="str">
            <v>1c 10</v>
          </cell>
          <cell r="K10">
            <v>2</v>
          </cell>
          <cell r="L10">
            <v>2</v>
          </cell>
          <cell r="M10">
            <v>2</v>
          </cell>
          <cell r="R10" t="str">
            <v>100mA ELCB + DOL STARTER</v>
          </cell>
        </row>
        <row r="12">
          <cell r="A12" t="str">
            <v>DX/FCU-H-LG-1b &amp; DX/FCU-H-LG-1b (STAND BY)</v>
          </cell>
          <cell r="B12" t="str">
            <v>TP</v>
          </cell>
          <cell r="D12">
            <v>40</v>
          </cell>
          <cell r="F12">
            <v>22</v>
          </cell>
          <cell r="G12" t="str">
            <v>XLPE/SWA/ LSOH</v>
          </cell>
          <cell r="I12" t="str">
            <v>3c 10</v>
          </cell>
          <cell r="J12" t="str">
            <v>1c 10</v>
          </cell>
          <cell r="K12">
            <v>2</v>
          </cell>
          <cell r="L12">
            <v>2</v>
          </cell>
          <cell r="M12">
            <v>2</v>
          </cell>
          <cell r="R12" t="str">
            <v>100mA ELCB + DOL STARTER</v>
          </cell>
        </row>
        <row r="14">
          <cell r="A14" t="str">
            <v>CONTROLS</v>
          </cell>
          <cell r="B14" t="str">
            <v>SP</v>
          </cell>
          <cell r="D14">
            <v>10</v>
          </cell>
          <cell r="F14">
            <v>22</v>
          </cell>
          <cell r="G14" t="str">
            <v>XLPE/SWA/ LSOH</v>
          </cell>
          <cell r="I14" t="str">
            <v>2c 1.5</v>
          </cell>
          <cell r="K14">
            <v>0.5</v>
          </cell>
        </row>
        <row r="20">
          <cell r="A20" t="str">
            <v xml:space="preserve"> </v>
          </cell>
        </row>
        <row r="21">
          <cell r="A21" t="str">
            <v>CONNECTED TO :</v>
          </cell>
          <cell r="B21" t="str">
            <v>SBE-H-G-3 (FCC)</v>
          </cell>
          <cell r="F21" t="str">
            <v>TOTAL CONNECTED LOAD PER PHASE</v>
          </cell>
          <cell r="K21">
            <v>4.5</v>
          </cell>
          <cell r="L21">
            <v>4</v>
          </cell>
          <cell r="M21">
            <v>4</v>
          </cell>
          <cell r="R21" t="str">
            <v>TOTAL</v>
          </cell>
        </row>
        <row r="24">
          <cell r="A24" t="str">
            <v xml:space="preserve">MAX. DEMAND (3 PH.):   </v>
          </cell>
          <cell r="B24">
            <v>12.5</v>
          </cell>
          <cell r="C24" t="str">
            <v>kW</v>
          </cell>
          <cell r="D24" t="str">
            <v xml:space="preserve">AT </v>
          </cell>
          <cell r="E24">
            <v>1</v>
          </cell>
          <cell r="F24" t="str">
            <v>DIVERSITY</v>
          </cell>
          <cell r="J24" t="str">
            <v xml:space="preserve">TOTAL CONNECTED LOAD(3 PH)   </v>
          </cell>
          <cell r="N24">
            <v>12.5</v>
          </cell>
          <cell r="O24" t="str">
            <v>kW</v>
          </cell>
        </row>
        <row r="27">
          <cell r="A27" t="str">
            <v>CONTRACTOR:</v>
          </cell>
          <cell r="K27" t="str">
            <v xml:space="preserve">TEL: </v>
          </cell>
          <cell r="O27" t="str">
            <v xml:space="preserve">FAX: </v>
          </cell>
        </row>
        <row r="29">
          <cell r="A29" t="str">
            <v>Type of Meter (Rating of Incomer):</v>
          </cell>
          <cell r="F29" t="str">
            <v>(1)  Upto 60A</v>
          </cell>
          <cell r="H29" t="str">
            <v>(2)  Upto 100 A</v>
          </cell>
          <cell r="K29" t="str">
            <v>(3)  125 - 160 A</v>
          </cell>
          <cell r="M29" t="str">
            <v>(4)  LV CT ..2500/5.......A</v>
          </cell>
          <cell r="Q29" t="str">
            <v>HV  CT .........../..........A</v>
          </cell>
        </row>
        <row r="30">
          <cell r="F30" t="str">
            <v xml:space="preserve">       (1 Phase)</v>
          </cell>
          <cell r="H30" t="str">
            <v xml:space="preserve">       (3 Phase)</v>
          </cell>
          <cell r="K30" t="str">
            <v xml:space="preserve">       </v>
          </cell>
        </row>
      </sheetData>
      <sheetData sheetId="84">
        <row r="1">
          <cell r="A1" t="str">
            <v>PROJECT: DUBAI MARINA MALL &amp; HOTEL/APARTMENTS</v>
          </cell>
          <cell r="I1" t="str">
            <v>DETAILS OF CONNECTED LOAD/ MAX. DEMAND</v>
          </cell>
        </row>
        <row r="2">
          <cell r="I2" t="str">
            <v>OWNER:</v>
          </cell>
          <cell r="J2" t="str">
            <v>EMAAR PROPERTIES PSJC</v>
          </cell>
          <cell r="O2" t="str">
            <v>AREA:</v>
          </cell>
          <cell r="Q2" t="str">
            <v>DUBAI,UNITED ARAB EMIRATES</v>
          </cell>
        </row>
        <row r="3">
          <cell r="E3" t="str">
            <v xml:space="preserve"> </v>
          </cell>
          <cell r="O3" t="str">
            <v xml:space="preserve"> LOCATION OF MCP: </v>
          </cell>
          <cell r="R3" t="str">
            <v>LOWER GROUND</v>
          </cell>
        </row>
        <row r="4">
          <cell r="A4" t="str">
            <v xml:space="preserve">MDB / SMDB </v>
          </cell>
          <cell r="B4" t="str">
            <v>LMCP-DX-FCU-H-LG-2</v>
          </cell>
          <cell r="I4" t="str">
            <v>CONSULTANT:MEINHARDT SINGAPORE PTE LTD.</v>
          </cell>
        </row>
        <row r="6">
          <cell r="A6" t="str">
            <v>CIRCUIT/</v>
          </cell>
          <cell r="B6" t="str">
            <v>SP/</v>
          </cell>
          <cell r="C6" t="str">
            <v>RATING - AMPS</v>
          </cell>
          <cell r="F6" t="str">
            <v>Isc FAULT</v>
          </cell>
          <cell r="G6" t="str">
            <v>FR or
XLPE</v>
          </cell>
          <cell r="H6" t="str">
            <v>CABLE SIZE</v>
          </cell>
          <cell r="J6" t="str">
            <v>CPC
SIZE-</v>
          </cell>
          <cell r="K6" t="str">
            <v>CONNECTED LOAD - KW</v>
          </cell>
          <cell r="N6" t="str">
            <v>PROPOSED TYPE &amp; NO. OF
KWH METERS</v>
          </cell>
        </row>
        <row r="7">
          <cell r="A7" t="str">
            <v>FEEDER
DB No.</v>
          </cell>
          <cell r="B7" t="str">
            <v>TP</v>
          </cell>
          <cell r="C7" t="str">
            <v>F/S
ISO</v>
          </cell>
          <cell r="D7" t="str">
            <v>MCCB</v>
          </cell>
          <cell r="E7" t="str">
            <v>MCB</v>
          </cell>
          <cell r="F7" t="str">
            <v>DUTY
KA</v>
          </cell>
          <cell r="G7" t="str">
            <v>SWA/
LS0H</v>
          </cell>
          <cell r="H7" t="str">
            <v>2/4 X1C
mm^2</v>
          </cell>
          <cell r="I7" t="str">
            <v>2/3/4C
mm^2</v>
          </cell>
          <cell r="J7" t="str">
            <v>1c
mm^2</v>
          </cell>
          <cell r="K7" t="str">
            <v>R-PH
KW</v>
          </cell>
          <cell r="L7" t="str">
            <v>Y-PH
KW</v>
          </cell>
          <cell r="M7" t="str">
            <v>B-PH
KW</v>
          </cell>
          <cell r="N7" t="str">
            <v>1 - PH
(1)</v>
          </cell>
          <cell r="O7" t="str">
            <v>3 - PH
(2)</v>
          </cell>
          <cell r="P7" t="str">
            <v>3 - PH
(3)</v>
          </cell>
          <cell r="Q7" t="str">
            <v>LV/H
CT (4)</v>
          </cell>
          <cell r="R7" t="str">
            <v>REMARKS</v>
          </cell>
        </row>
        <row r="8">
          <cell r="A8" t="str">
            <v>INCOMER (NON AUTO)</v>
          </cell>
          <cell r="B8" t="str">
            <v>TP</v>
          </cell>
          <cell r="D8">
            <v>40</v>
          </cell>
          <cell r="F8">
            <v>22</v>
          </cell>
          <cell r="G8" t="str">
            <v>XLPE/SWA/ LSOH</v>
          </cell>
          <cell r="I8" t="str">
            <v>4c 10</v>
          </cell>
          <cell r="J8" t="str">
            <v>1c 10</v>
          </cell>
          <cell r="K8">
            <v>1</v>
          </cell>
          <cell r="L8">
            <v>0.5</v>
          </cell>
          <cell r="M8">
            <v>0.5</v>
          </cell>
        </row>
        <row r="9">
          <cell r="A9" t="str">
            <v>OUTGOING</v>
          </cell>
        </row>
        <row r="10">
          <cell r="A10" t="str">
            <v>DX/FCU-H-LG-2 &amp; DX/FCU-H-LG-2 (STAND BY)</v>
          </cell>
          <cell r="B10" t="str">
            <v>TP</v>
          </cell>
          <cell r="D10">
            <v>32</v>
          </cell>
          <cell r="F10">
            <v>22</v>
          </cell>
          <cell r="G10" t="str">
            <v>XLPE/SWA/ LSOH</v>
          </cell>
          <cell r="I10" t="str">
            <v>3c 6</v>
          </cell>
          <cell r="J10" t="str">
            <v>1c 6</v>
          </cell>
          <cell r="K10">
            <v>0.5</v>
          </cell>
          <cell r="L10">
            <v>0.5</v>
          </cell>
          <cell r="M10">
            <v>0.5</v>
          </cell>
          <cell r="R10" t="str">
            <v>100mA ELCB + DOL STARTER</v>
          </cell>
        </row>
        <row r="12">
          <cell r="A12" t="str">
            <v>CONTROLS</v>
          </cell>
          <cell r="B12" t="str">
            <v>SP</v>
          </cell>
          <cell r="D12">
            <v>10</v>
          </cell>
          <cell r="F12">
            <v>22</v>
          </cell>
          <cell r="G12" t="str">
            <v>XLPE/SWA/ LSOH</v>
          </cell>
          <cell r="I12" t="str">
            <v>2c 1.5</v>
          </cell>
          <cell r="K12">
            <v>0.5</v>
          </cell>
        </row>
        <row r="18">
          <cell r="A18" t="str">
            <v xml:space="preserve"> </v>
          </cell>
        </row>
        <row r="19">
          <cell r="A19" t="str">
            <v>CONNECTED TO :</v>
          </cell>
          <cell r="B19" t="str">
            <v>SBE-H-G-3 (FCC)</v>
          </cell>
          <cell r="F19" t="str">
            <v>TOTAL CONNECTED LOAD PER PHASE</v>
          </cell>
          <cell r="K19">
            <v>1</v>
          </cell>
          <cell r="L19">
            <v>0.5</v>
          </cell>
          <cell r="M19">
            <v>0.5</v>
          </cell>
          <cell r="R19" t="str">
            <v>TOTAL</v>
          </cell>
        </row>
        <row r="22">
          <cell r="A22" t="str">
            <v xml:space="preserve">MAX. DEMAND (3 PH.):   </v>
          </cell>
          <cell r="B22">
            <v>2</v>
          </cell>
          <cell r="C22" t="str">
            <v>kW</v>
          </cell>
          <cell r="D22" t="str">
            <v xml:space="preserve">AT </v>
          </cell>
          <cell r="E22">
            <v>1</v>
          </cell>
          <cell r="F22" t="str">
            <v>DIVERSITY</v>
          </cell>
          <cell r="J22" t="str">
            <v xml:space="preserve">TOTAL CONNECTED LOAD(3 PH)   </v>
          </cell>
          <cell r="N22">
            <v>2</v>
          </cell>
          <cell r="O22" t="str">
            <v>kW</v>
          </cell>
        </row>
        <row r="25">
          <cell r="A25" t="str">
            <v>CONTRACTOR:</v>
          </cell>
          <cell r="K25" t="str">
            <v xml:space="preserve">TEL: </v>
          </cell>
          <cell r="O25" t="str">
            <v xml:space="preserve">FAX: </v>
          </cell>
        </row>
        <row r="27">
          <cell r="A27" t="str">
            <v>Type of Meter (Rating of Incomer):</v>
          </cell>
          <cell r="F27" t="str">
            <v>(1)  Upto 60A</v>
          </cell>
          <cell r="H27" t="str">
            <v>(2)  Upto 100 A</v>
          </cell>
          <cell r="K27" t="str">
            <v>(3)  125 - 160 A</v>
          </cell>
          <cell r="M27" t="str">
            <v>(4)  LV CT ..2500/5.......A</v>
          </cell>
          <cell r="Q27" t="str">
            <v>HV  CT .........../..........A</v>
          </cell>
        </row>
        <row r="28">
          <cell r="F28" t="str">
            <v xml:space="preserve">       (1 Phase)</v>
          </cell>
          <cell r="H28" t="str">
            <v xml:space="preserve">       (3 Phase)</v>
          </cell>
          <cell r="K28" t="str">
            <v xml:space="preserve">       </v>
          </cell>
        </row>
      </sheetData>
      <sheetData sheetId="85">
        <row r="1">
          <cell r="A1" t="str">
            <v>PROJECT: DUBAI MARINA MALL &amp; HOTEL/APARTMENTS</v>
          </cell>
          <cell r="I1" t="str">
            <v>DETAILS OF CONNECTED LOAD/ MAX. DEMAND</v>
          </cell>
        </row>
        <row r="2">
          <cell r="I2" t="str">
            <v>OWNER:</v>
          </cell>
          <cell r="J2" t="str">
            <v>EMAAR PROPERTIES PSJC</v>
          </cell>
          <cell r="O2" t="str">
            <v>AREA:</v>
          </cell>
          <cell r="Q2" t="str">
            <v>DUBAI,UNITED ARAB EMIRATES</v>
          </cell>
        </row>
        <row r="3">
          <cell r="E3" t="str">
            <v xml:space="preserve"> </v>
          </cell>
          <cell r="O3" t="str">
            <v xml:space="preserve"> LOCATION OF MCP: </v>
          </cell>
          <cell r="R3" t="str">
            <v>LOWER GROUND MEZZ.</v>
          </cell>
        </row>
        <row r="4">
          <cell r="A4" t="str">
            <v xml:space="preserve">MDB / SMDB </v>
          </cell>
          <cell r="B4" t="str">
            <v>LMCP-DX-FCU-H-LGM-1</v>
          </cell>
          <cell r="I4" t="str">
            <v>CONSULTANT:MEINHARDT SINGAPORE PTE LTD.</v>
          </cell>
        </row>
        <row r="6">
          <cell r="A6" t="str">
            <v>CIRCUIT/</v>
          </cell>
          <cell r="B6" t="str">
            <v>SP/</v>
          </cell>
          <cell r="C6" t="str">
            <v>RATING - AMPS</v>
          </cell>
          <cell r="F6" t="str">
            <v>Isc FAULT</v>
          </cell>
          <cell r="G6" t="str">
            <v>FR or
XLPE</v>
          </cell>
          <cell r="H6" t="str">
            <v>CABLE SIZE</v>
          </cell>
          <cell r="J6" t="str">
            <v>CPC
SIZE-</v>
          </cell>
          <cell r="K6" t="str">
            <v>CONNECTED LOAD - KW</v>
          </cell>
          <cell r="N6" t="str">
            <v>PROPOSED TYPE &amp; NO. OF
KWH METERS</v>
          </cell>
        </row>
        <row r="7">
          <cell r="A7" t="str">
            <v>FEEDER
DB No.</v>
          </cell>
          <cell r="B7" t="str">
            <v>TP</v>
          </cell>
          <cell r="C7" t="str">
            <v>F/S
ISO</v>
          </cell>
          <cell r="D7" t="str">
            <v>MCCB</v>
          </cell>
          <cell r="E7" t="str">
            <v>MCB</v>
          </cell>
          <cell r="F7" t="str">
            <v>DUTY
KA</v>
          </cell>
          <cell r="G7" t="str">
            <v>SWA/
LS0H</v>
          </cell>
          <cell r="H7" t="str">
            <v>2/4 X1C
mm^2</v>
          </cell>
          <cell r="I7" t="str">
            <v>2/3/4C
mm^2</v>
          </cell>
          <cell r="J7" t="str">
            <v>1c
mm^2</v>
          </cell>
          <cell r="K7" t="str">
            <v>R-PH
KW</v>
          </cell>
          <cell r="L7" t="str">
            <v>Y-PH
KW</v>
          </cell>
          <cell r="M7" t="str">
            <v>B-PH
KW</v>
          </cell>
          <cell r="N7" t="str">
            <v>1 - PH
(1)</v>
          </cell>
          <cell r="O7" t="str">
            <v>3 - PH
(2)</v>
          </cell>
          <cell r="P7" t="str">
            <v>3 - PH
(3)</v>
          </cell>
          <cell r="Q7" t="str">
            <v>LV/H
CT (4)</v>
          </cell>
          <cell r="R7" t="str">
            <v>REMARKS</v>
          </cell>
        </row>
        <row r="8">
          <cell r="A8" t="str">
            <v>INCOMER (NON AUTO)</v>
          </cell>
          <cell r="B8" t="str">
            <v>TP</v>
          </cell>
          <cell r="D8">
            <v>40</v>
          </cell>
          <cell r="F8">
            <v>22</v>
          </cell>
          <cell r="G8" t="str">
            <v>XLPE/SWA/ LSOH</v>
          </cell>
          <cell r="I8" t="str">
            <v>4c 10</v>
          </cell>
          <cell r="J8" t="str">
            <v>1c 10</v>
          </cell>
          <cell r="K8">
            <v>1.8333333333333333</v>
          </cell>
          <cell r="L8">
            <v>1.3333333333333333</v>
          </cell>
          <cell r="M8">
            <v>1.3333333333333333</v>
          </cell>
        </row>
        <row r="9">
          <cell r="A9" t="str">
            <v>OUTGOING</v>
          </cell>
        </row>
        <row r="10">
          <cell r="A10" t="str">
            <v>DX/FCU-H-LGM-1 &amp; DX/FCU-H-LGM-1 (STAND BY)</v>
          </cell>
          <cell r="B10" t="str">
            <v>TP</v>
          </cell>
          <cell r="D10">
            <v>32</v>
          </cell>
          <cell r="F10">
            <v>22</v>
          </cell>
          <cell r="G10" t="str">
            <v>XLPE/SWA/ LSOH</v>
          </cell>
          <cell r="I10" t="str">
            <v>3c 6</v>
          </cell>
          <cell r="J10" t="str">
            <v>1c 6</v>
          </cell>
          <cell r="K10">
            <v>1.3333333333333333</v>
          </cell>
          <cell r="L10">
            <v>1.3333333333333333</v>
          </cell>
          <cell r="M10">
            <v>1.3333333333333333</v>
          </cell>
          <cell r="R10" t="str">
            <v>100mA ELCB + DOL STARTER</v>
          </cell>
        </row>
        <row r="12">
          <cell r="A12" t="str">
            <v>CONTROLS</v>
          </cell>
          <cell r="B12" t="str">
            <v>SP</v>
          </cell>
          <cell r="D12">
            <v>10</v>
          </cell>
          <cell r="F12">
            <v>22</v>
          </cell>
          <cell r="G12" t="str">
            <v>XLPE/SWA/ LSOH</v>
          </cell>
          <cell r="I12" t="str">
            <v>2c 1.5</v>
          </cell>
          <cell r="K12">
            <v>0.5</v>
          </cell>
        </row>
        <row r="18">
          <cell r="A18" t="str">
            <v xml:space="preserve"> </v>
          </cell>
        </row>
        <row r="19">
          <cell r="A19" t="str">
            <v>CONNECTED TO :</v>
          </cell>
          <cell r="B19" t="str">
            <v>SBE-H-G-3 (FCC)</v>
          </cell>
          <cell r="F19" t="str">
            <v>TOTAL CONNECTED LOAD PER PHASE</v>
          </cell>
          <cell r="K19">
            <v>1.8333333333333333</v>
          </cell>
          <cell r="L19">
            <v>1.3333333333333333</v>
          </cell>
          <cell r="M19">
            <v>1.3333333333333333</v>
          </cell>
          <cell r="R19" t="str">
            <v>TOTAL</v>
          </cell>
        </row>
        <row r="22">
          <cell r="A22" t="str">
            <v xml:space="preserve">MAX. DEMAND (3 PH.):   </v>
          </cell>
          <cell r="B22">
            <v>4.5</v>
          </cell>
          <cell r="C22" t="str">
            <v>kW</v>
          </cell>
          <cell r="D22" t="str">
            <v xml:space="preserve">AT </v>
          </cell>
          <cell r="E22">
            <v>1</v>
          </cell>
          <cell r="F22" t="str">
            <v>DIVERSITY</v>
          </cell>
          <cell r="J22" t="str">
            <v xml:space="preserve">TOTAL CONNECTED LOAD(3 PH)   </v>
          </cell>
          <cell r="N22">
            <v>4.5</v>
          </cell>
          <cell r="O22" t="str">
            <v>kW</v>
          </cell>
        </row>
        <row r="25">
          <cell r="A25" t="str">
            <v>CONTRACTOR:</v>
          </cell>
          <cell r="K25" t="str">
            <v xml:space="preserve">TEL: </v>
          </cell>
          <cell r="O25" t="str">
            <v xml:space="preserve">FAX: </v>
          </cell>
        </row>
        <row r="27">
          <cell r="A27" t="str">
            <v>Type of Meter (Rating of Incomer):</v>
          </cell>
          <cell r="F27" t="str">
            <v>(1)  Upto 60A</v>
          </cell>
          <cell r="H27" t="str">
            <v>(2)  Upto 100 A</v>
          </cell>
          <cell r="K27" t="str">
            <v>(3)  125 - 160 A</v>
          </cell>
          <cell r="M27" t="str">
            <v>(4)  LV CT ..2500/5.......A</v>
          </cell>
          <cell r="Q27" t="str">
            <v>HV  CT .........../..........A</v>
          </cell>
        </row>
        <row r="28">
          <cell r="F28" t="str">
            <v xml:space="preserve">       (1 Phase)</v>
          </cell>
          <cell r="H28" t="str">
            <v xml:space="preserve">       (3 Phase)</v>
          </cell>
          <cell r="K28" t="str">
            <v xml:space="preserve">       </v>
          </cell>
        </row>
      </sheetData>
      <sheetData sheetId="86">
        <row r="1">
          <cell r="A1" t="str">
            <v>PROJECT: DUBAI MARINA MALL &amp; HOTEL/APARTMENTS</v>
          </cell>
          <cell r="I1" t="str">
            <v>DETAILS OF CONNECTED LOAD/ MAX. DEMAND</v>
          </cell>
        </row>
        <row r="2">
          <cell r="I2" t="str">
            <v>OWNER:</v>
          </cell>
          <cell r="J2" t="str">
            <v>EMAAR PROPERTIES PSJC</v>
          </cell>
          <cell r="O2" t="str">
            <v>AREA:</v>
          </cell>
          <cell r="Q2" t="str">
            <v>DUBAI,UNITED ARAB EMIRATES</v>
          </cell>
        </row>
        <row r="3">
          <cell r="E3" t="str">
            <v xml:space="preserve"> </v>
          </cell>
          <cell r="O3" t="str">
            <v xml:space="preserve"> LOCATION OF MCP: </v>
          </cell>
          <cell r="R3" t="str">
            <v>LOWER GROUND MEZZ</v>
          </cell>
        </row>
        <row r="4">
          <cell r="A4" t="str">
            <v xml:space="preserve">MDB / SMDB </v>
          </cell>
          <cell r="B4" t="str">
            <v>LMCP-DX-FCU-H-LGM-2</v>
          </cell>
          <cell r="I4" t="str">
            <v>CONSULTANT:MEINHARDT SINGAPORE PTE LTD.</v>
          </cell>
        </row>
        <row r="6">
          <cell r="A6" t="str">
            <v>CIRCUIT/</v>
          </cell>
          <cell r="B6" t="str">
            <v>SP/</v>
          </cell>
          <cell r="C6" t="str">
            <v>RATING - AMPS</v>
          </cell>
          <cell r="F6" t="str">
            <v>Isc FAULT</v>
          </cell>
          <cell r="G6" t="str">
            <v>FR or
XLPE</v>
          </cell>
          <cell r="H6" t="str">
            <v>CABLE SIZE</v>
          </cell>
          <cell r="J6" t="str">
            <v>CPC
SIZE-</v>
          </cell>
          <cell r="K6" t="str">
            <v>CONNECTED LOAD - KW</v>
          </cell>
          <cell r="N6" t="str">
            <v>PROPOSED TYPE &amp; NO. OF
KWH METERS</v>
          </cell>
        </row>
        <row r="7">
          <cell r="A7" t="str">
            <v>FEEDER
DB No.</v>
          </cell>
          <cell r="B7" t="str">
            <v>TP</v>
          </cell>
          <cell r="C7" t="str">
            <v>F/S
ISO</v>
          </cell>
          <cell r="D7" t="str">
            <v>MCCB</v>
          </cell>
          <cell r="E7" t="str">
            <v>MCB</v>
          </cell>
          <cell r="F7" t="str">
            <v>DUTY
KA</v>
          </cell>
          <cell r="G7" t="str">
            <v>SWA/
LS0H</v>
          </cell>
          <cell r="H7" t="str">
            <v>2/4 X1C
mm^2</v>
          </cell>
          <cell r="I7" t="str">
            <v>2/3/4C
mm^2</v>
          </cell>
          <cell r="J7" t="str">
            <v>1c
mm^2</v>
          </cell>
          <cell r="K7" t="str">
            <v>R-PH
KW</v>
          </cell>
          <cell r="L7" t="str">
            <v>Y-PH
KW</v>
          </cell>
          <cell r="M7" t="str">
            <v>B-PH
KW</v>
          </cell>
          <cell r="N7" t="str">
            <v>1 - PH
(1)</v>
          </cell>
          <cell r="O7" t="str">
            <v>3 - PH
(2)</v>
          </cell>
          <cell r="P7" t="str">
            <v>3 - PH
(3)</v>
          </cell>
          <cell r="Q7" t="str">
            <v>LV/H
CT (4)</v>
          </cell>
          <cell r="R7" t="str">
            <v>REMARKS</v>
          </cell>
        </row>
        <row r="8">
          <cell r="A8" t="str">
            <v>INCOMER (NON AUTO)</v>
          </cell>
          <cell r="B8" t="str">
            <v>TP</v>
          </cell>
          <cell r="D8">
            <v>40</v>
          </cell>
          <cell r="F8">
            <v>22</v>
          </cell>
          <cell r="G8" t="str">
            <v>XLPE/SWA/ LSOH</v>
          </cell>
          <cell r="I8" t="str">
            <v>4c 10</v>
          </cell>
          <cell r="J8" t="str">
            <v>1c 10</v>
          </cell>
          <cell r="K8">
            <v>1.8333333333333333</v>
          </cell>
          <cell r="L8">
            <v>1.3333333333333333</v>
          </cell>
          <cell r="M8">
            <v>1.3333333333333333</v>
          </cell>
        </row>
        <row r="9">
          <cell r="A9" t="str">
            <v>OUTGOING</v>
          </cell>
        </row>
        <row r="10">
          <cell r="A10" t="str">
            <v>DX/FCU-H-LGM-2 &amp; DX/FCU-H-LGM-2 (STAND BY)</v>
          </cell>
          <cell r="B10" t="str">
            <v>TP</v>
          </cell>
          <cell r="D10">
            <v>32</v>
          </cell>
          <cell r="F10">
            <v>22</v>
          </cell>
          <cell r="G10" t="str">
            <v>XLPE/SWA/ LSOH</v>
          </cell>
          <cell r="I10" t="str">
            <v>3c 6</v>
          </cell>
          <cell r="J10" t="str">
            <v>1c 6</v>
          </cell>
          <cell r="K10">
            <v>1.3333333333333333</v>
          </cell>
          <cell r="L10">
            <v>1.3333333333333333</v>
          </cell>
          <cell r="M10">
            <v>1.3333333333333333</v>
          </cell>
          <cell r="R10" t="str">
            <v>100mA ELCB + DOL STARTER</v>
          </cell>
        </row>
        <row r="12">
          <cell r="A12" t="str">
            <v>CONTROLS</v>
          </cell>
          <cell r="B12" t="str">
            <v>SP</v>
          </cell>
          <cell r="D12">
            <v>10</v>
          </cell>
          <cell r="F12">
            <v>22</v>
          </cell>
          <cell r="G12" t="str">
            <v>XLPE/SWA/ LSOH</v>
          </cell>
          <cell r="I12" t="str">
            <v>2c 1.5</v>
          </cell>
          <cell r="K12">
            <v>0.5</v>
          </cell>
        </row>
        <row r="18">
          <cell r="A18" t="str">
            <v xml:space="preserve"> </v>
          </cell>
        </row>
        <row r="19">
          <cell r="A19" t="str">
            <v>CONNECTED TO :</v>
          </cell>
          <cell r="B19" t="str">
            <v>SBE-H-G-3 (FCC)</v>
          </cell>
          <cell r="F19" t="str">
            <v>TOTAL CONNECTED LOAD PER PHASE</v>
          </cell>
          <cell r="K19">
            <v>1.8333333333333333</v>
          </cell>
          <cell r="L19">
            <v>1.3333333333333333</v>
          </cell>
          <cell r="M19">
            <v>1.3333333333333333</v>
          </cell>
          <cell r="R19" t="str">
            <v>TOTAL</v>
          </cell>
        </row>
        <row r="22">
          <cell r="A22" t="str">
            <v xml:space="preserve">MAX. DEMAND (3 PH.):   </v>
          </cell>
          <cell r="B22">
            <v>4.5</v>
          </cell>
          <cell r="C22" t="str">
            <v>kW</v>
          </cell>
          <cell r="D22" t="str">
            <v xml:space="preserve">AT </v>
          </cell>
          <cell r="E22">
            <v>1</v>
          </cell>
          <cell r="F22" t="str">
            <v>DIVERSITY</v>
          </cell>
          <cell r="J22" t="str">
            <v xml:space="preserve">TOTAL CONNECTED LOAD(3 PH)   </v>
          </cell>
          <cell r="N22">
            <v>4.5</v>
          </cell>
          <cell r="O22" t="str">
            <v>kW</v>
          </cell>
        </row>
        <row r="25">
          <cell r="A25" t="str">
            <v>CONTRACTOR:</v>
          </cell>
          <cell r="K25" t="str">
            <v xml:space="preserve">TEL: </v>
          </cell>
          <cell r="O25" t="str">
            <v xml:space="preserve">FAX: </v>
          </cell>
        </row>
        <row r="27">
          <cell r="A27" t="str">
            <v>Type of Meter (Rating of Incomer):</v>
          </cell>
          <cell r="F27" t="str">
            <v>(1)  Upto 60A</v>
          </cell>
          <cell r="H27" t="str">
            <v>(2)  Upto 100 A</v>
          </cell>
          <cell r="K27" t="str">
            <v>(3)  125 - 160 A</v>
          </cell>
          <cell r="M27" t="str">
            <v>(4)  LV CT ..2500/5.......A</v>
          </cell>
          <cell r="Q27" t="str">
            <v>HV  CT .........../..........A</v>
          </cell>
        </row>
        <row r="28">
          <cell r="F28" t="str">
            <v xml:space="preserve">       (1 Phase)</v>
          </cell>
          <cell r="H28" t="str">
            <v xml:space="preserve">       (3 Phase)</v>
          </cell>
          <cell r="K28" t="str">
            <v xml:space="preserve">       </v>
          </cell>
        </row>
      </sheetData>
      <sheetData sheetId="87"/>
      <sheetData sheetId="88"/>
      <sheetData sheetId="89"/>
      <sheetData sheetId="90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SB_H_COVER"/>
      <sheetName val="LVSB_H_3"/>
      <sheetName val="MSB_H_3"/>
      <sheetName val="SBE_HC_LGM_1"/>
      <sheetName val="LMCP_CEF_B2_3"/>
      <sheetName val="LMCP_CEF_B1_3"/>
      <sheetName val="LMCP_CEF_LG_2"/>
      <sheetName val="LMCP_CEF_LGM_2 "/>
      <sheetName val="LMCP_CSF_LG_3"/>
      <sheetName val="LMCP_CSF_LGM_3"/>
      <sheetName val="SBE_H_10_1"/>
      <sheetName val="DBE_H_10_1_1_"/>
      <sheetName val="DBE_H_10_1_2_"/>
      <sheetName val="DBE_H_10_2_1_"/>
      <sheetName val="DBE_H_10_2_2_"/>
      <sheetName val="DBE_H_11_1_1_"/>
      <sheetName val="DBE_H_11_1_2_"/>
      <sheetName val="DBE_H_11_2_1_"/>
      <sheetName val="DBE_H_11_2_2_"/>
      <sheetName val="DBE_H_12_1 _1_"/>
      <sheetName val="DBE_H_12_1 _2_"/>
      <sheetName val="CBS_H_12_1_"/>
      <sheetName val="DBE_H_12_2_1_"/>
      <sheetName val="DBE_H_12_2_2_"/>
      <sheetName val="DBE_H_13_1 _1_"/>
      <sheetName val="DBE_H_13_1 _2_"/>
      <sheetName val="DBE_H_13_2 _1_"/>
      <sheetName val="DBE_H_13_2 _2_"/>
      <sheetName val="DBE_H_13M_1 _1_"/>
      <sheetName val="DBE_H_13M_1 _2_"/>
      <sheetName val="DB_HA_14_EXT_1 _1_"/>
      <sheetName val="DB_HA_14_EXT_1 _2_"/>
      <sheetName val="DB_HA_14_EXT_2 _1_"/>
      <sheetName val="DB_HA_14_EXT_2 _2_"/>
      <sheetName val="SBE_H_5_1"/>
      <sheetName val="DBE_H_5_1 _1_"/>
      <sheetName val="DBE_H_5_1 _2_"/>
      <sheetName val="DBE_H_6_1 _1_"/>
      <sheetName val="DBE_H_6_1 _2_"/>
      <sheetName val="CBS_H_6_1_"/>
      <sheetName val="DBE_H_6_2 _1_"/>
      <sheetName val="DBE_H_6_2 _2_"/>
      <sheetName val="DBE_H_7_1 _1_"/>
      <sheetName val="DBE_H_7_1 _2_"/>
      <sheetName val="DBE_H_7_2 _1_"/>
      <sheetName val="DBE_H_7_2 _2_"/>
      <sheetName val="DBE_H_7_3_1_"/>
      <sheetName val="DBE_H_7_3_2_"/>
      <sheetName val="DBE_H_7_3_3_"/>
      <sheetName val="DBE_H_8_1 _1_"/>
      <sheetName val="DBE_H_8_1 _2_"/>
      <sheetName val="DBE_H_8_2 _1_"/>
      <sheetName val="DBE_H_8_2 _2_"/>
      <sheetName val="DBE_H_9_1 _1_"/>
      <sheetName val="DBE_H_9_1 _2_"/>
      <sheetName val="CBS_H_9_1_"/>
      <sheetName val="DBE_H_9_2_1_"/>
      <sheetName val="DBE_H_9_2_2_"/>
      <sheetName val="LMCP_DX_FCU_H_5_1"/>
      <sheetName val="SBE_H_G_4"/>
      <sheetName val="DBE_H_G_1_1_"/>
      <sheetName val="CBS_H_G _1_"/>
      <sheetName val="CBS_H_G _2_"/>
      <sheetName val="DBE_H_1_1_1_"/>
      <sheetName val="DBE_H_2_1_1_"/>
      <sheetName val="DBE_H_2_1_2_"/>
      <sheetName val="DBE_H_2_1_3_"/>
      <sheetName val="DBE_H_3_1_1_"/>
      <sheetName val="DBE_H_3_1_2_"/>
      <sheetName val="DBE_H_3_1_3_"/>
      <sheetName val="CBS_H_3_1_"/>
      <sheetName val="CBS_H_3_2_"/>
      <sheetName val="DBE_H_4_1_1_"/>
      <sheetName val="SBE_H_LGM_2"/>
      <sheetName val="DBE_H_B2_1_1_"/>
      <sheetName val="DBE_H_B2_1_2_"/>
      <sheetName val="DBE_H_B1_1_1_"/>
      <sheetName val="DBE_H_B1_1_2_"/>
      <sheetName val="CBS_H_B1 _1_"/>
      <sheetName val="CBS_H_B1 _2_"/>
      <sheetName val="CBS_HC_B1_1_"/>
      <sheetName val="CBS_HC_B1_2_"/>
      <sheetName val="DBE_H_LG_1_1_"/>
      <sheetName val="DBE_H_LG_1_2_"/>
      <sheetName val="DBE_H_LGM_1_1_"/>
      <sheetName val="DBE_H_LGM_1_2_"/>
      <sheetName val="SBE_H_G_3_(FCC)_"/>
      <sheetName val="LMCP_DX_FCU_H_G_1"/>
      <sheetName val="LMCP_DX_FCU_H_LG_1"/>
      <sheetName val="LMCP_DX_FCU_H_LG_2"/>
      <sheetName val="LMCP_DX_FCU_H_LGM_1"/>
      <sheetName val="LMCP_DX_FCU_H_LGM_2"/>
      <sheetName val="LMCP_DX_FCU_H_LGM_3"/>
      <sheetName val="LMCP_DX_FCU_H_LGM_4"/>
      <sheetName val="LMCP_DX_FCU_H_LGM_5"/>
      <sheetName val="SBE_H_LG_2"/>
      <sheetName val="SBE_H_13M_1"/>
      <sheetName val="LMCP_SEF_H_13M_1"/>
      <sheetName val="LMCP_SEF_H_13M_2"/>
      <sheetName val="LMCP_SPF_H_13M_1"/>
      <sheetName val="LMCP_LPF_H_13M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A1" t="str">
            <v>PROJECT: DUBAI MARINA MALL &amp; HOTEL/APARTMENTS</v>
          </cell>
          <cell r="I1" t="str">
            <v>DETAILS OF CONNECTED LOAD/ MAX. DEMAND</v>
          </cell>
        </row>
        <row r="2">
          <cell r="I2" t="str">
            <v>OWNER:</v>
          </cell>
          <cell r="J2" t="str">
            <v>EMAAR PROPERTIES PSJC</v>
          </cell>
          <cell r="O2" t="str">
            <v>AREA:</v>
          </cell>
          <cell r="Q2" t="str">
            <v>DUBAI,UNITED ARAB EMIRATES</v>
          </cell>
        </row>
        <row r="3">
          <cell r="E3" t="str">
            <v xml:space="preserve"> </v>
          </cell>
          <cell r="O3" t="str">
            <v xml:space="preserve"> LOCATION OF MCP: </v>
          </cell>
          <cell r="R3" t="str">
            <v>LOWER GROUND FLOOR</v>
          </cell>
        </row>
        <row r="4">
          <cell r="A4" t="str">
            <v xml:space="preserve">MDB / SMDB </v>
          </cell>
          <cell r="B4" t="str">
            <v>LMCP-CEF-LG-2</v>
          </cell>
          <cell r="I4" t="str">
            <v>CONSULTANT:MEINHARDT SINGAPORE PTE LTD.</v>
          </cell>
        </row>
        <row r="6">
          <cell r="A6" t="str">
            <v>CIRCUIT/</v>
          </cell>
          <cell r="B6" t="str">
            <v>SP/</v>
          </cell>
          <cell r="C6" t="str">
            <v>RATING - AMPS</v>
          </cell>
          <cell r="F6" t="str">
            <v>Isc FAULT</v>
          </cell>
          <cell r="G6" t="str">
            <v>FR or
XLPE</v>
          </cell>
          <cell r="H6" t="str">
            <v>CABLE SIZE</v>
          </cell>
          <cell r="J6" t="str">
            <v>ECC
SIZE-</v>
          </cell>
          <cell r="K6" t="str">
            <v>CONNECTED LOAD - KW</v>
          </cell>
          <cell r="N6" t="str">
            <v>PROPOSED TYPE &amp; NO. OF
KWH METERS</v>
          </cell>
        </row>
        <row r="7">
          <cell r="A7" t="str">
            <v>FEEDER
DB No.</v>
          </cell>
          <cell r="B7" t="str">
            <v>TP</v>
          </cell>
          <cell r="C7" t="str">
            <v>F/S
ISO</v>
          </cell>
          <cell r="D7" t="str">
            <v>MCCB</v>
          </cell>
          <cell r="E7" t="str">
            <v>MCB</v>
          </cell>
          <cell r="F7" t="str">
            <v>DUTY
KA</v>
          </cell>
          <cell r="G7" t="str">
            <v>SWA/
LS0H</v>
          </cell>
          <cell r="H7" t="str">
            <v>2/4 X1C
mm^2</v>
          </cell>
          <cell r="I7" t="str">
            <v>2/3/4C
mm^2</v>
          </cell>
          <cell r="J7" t="str">
            <v>1c
mm^2</v>
          </cell>
          <cell r="K7" t="str">
            <v>R-PH
KW</v>
          </cell>
          <cell r="L7" t="str">
            <v>Y-PH
KW</v>
          </cell>
          <cell r="M7" t="str">
            <v>B-PH
KW</v>
          </cell>
          <cell r="N7" t="str">
            <v>1 - PH
(1)</v>
          </cell>
          <cell r="O7" t="str">
            <v>3 - PH
(2)</v>
          </cell>
          <cell r="P7" t="str">
            <v>3 - PH
(3)</v>
          </cell>
          <cell r="Q7" t="str">
            <v>LV/H
CT (4)</v>
          </cell>
          <cell r="R7" t="str">
            <v>REMARKS</v>
          </cell>
        </row>
        <row r="8">
          <cell r="A8" t="str">
            <v>INCOMER (NON AUTO)</v>
          </cell>
          <cell r="B8" t="str">
            <v>TP</v>
          </cell>
          <cell r="D8">
            <v>63</v>
          </cell>
          <cell r="F8">
            <v>22</v>
          </cell>
          <cell r="G8" t="str">
            <v>FR/SWA/ LSOH</v>
          </cell>
          <cell r="I8" t="str">
            <v>4c 16</v>
          </cell>
          <cell r="J8" t="str">
            <v>1c 16</v>
          </cell>
          <cell r="K8">
            <v>8.966666666666665</v>
          </cell>
          <cell r="L8">
            <v>7.4666666666666659</v>
          </cell>
          <cell r="M8">
            <v>7.4666666666666659</v>
          </cell>
        </row>
        <row r="9">
          <cell r="A9" t="str">
            <v>OUTGOING</v>
          </cell>
        </row>
        <row r="10">
          <cell r="A10" t="str">
            <v>CEF-LG-2a</v>
          </cell>
          <cell r="B10" t="str">
            <v>TP</v>
          </cell>
          <cell r="D10">
            <v>40</v>
          </cell>
          <cell r="F10">
            <v>22</v>
          </cell>
          <cell r="G10" t="str">
            <v>FR/SWA/ LSOH</v>
          </cell>
          <cell r="I10" t="str">
            <v>2 x 3c 10</v>
          </cell>
          <cell r="J10" t="str">
            <v>1c 10</v>
          </cell>
          <cell r="K10">
            <v>3.7333333333333329</v>
          </cell>
          <cell r="L10">
            <v>3.7333333333333329</v>
          </cell>
          <cell r="M10">
            <v>3.7333333333333329</v>
          </cell>
          <cell r="R10" t="str">
            <v>100mA ELCB + S/D STARTER</v>
          </cell>
        </row>
        <row r="11">
          <cell r="A11" t="str">
            <v>CEF-LG-2b</v>
          </cell>
          <cell r="B11" t="str">
            <v>TP</v>
          </cell>
          <cell r="D11">
            <v>40</v>
          </cell>
          <cell r="F11">
            <v>22</v>
          </cell>
          <cell r="G11" t="str">
            <v>FR/SWA/ LSOH</v>
          </cell>
          <cell r="I11" t="str">
            <v>2 x 3c 10</v>
          </cell>
          <cell r="J11" t="str">
            <v>1c 10</v>
          </cell>
          <cell r="K11">
            <v>3.7333333333333329</v>
          </cell>
          <cell r="L11">
            <v>3.7333333333333329</v>
          </cell>
          <cell r="M11">
            <v>3.7333333333333329</v>
          </cell>
          <cell r="R11" t="str">
            <v>100mA ELCB + S/D STARTER</v>
          </cell>
        </row>
        <row r="12">
          <cell r="A12" t="str">
            <v>CONTROLS</v>
          </cell>
          <cell r="B12" t="str">
            <v>SP</v>
          </cell>
          <cell r="D12">
            <v>10</v>
          </cell>
          <cell r="F12">
            <v>22</v>
          </cell>
          <cell r="G12" t="str">
            <v>FR/SWA/ LSOH</v>
          </cell>
          <cell r="I12" t="str">
            <v>2c 1.5</v>
          </cell>
          <cell r="K12">
            <v>1.5</v>
          </cell>
        </row>
        <row r="22">
          <cell r="A22" t="str">
            <v xml:space="preserve"> </v>
          </cell>
        </row>
        <row r="23">
          <cell r="A23" t="str">
            <v xml:space="preserve">CONNECTED TO : </v>
          </cell>
          <cell r="B23" t="str">
            <v>SBE-HC-LGM-1</v>
          </cell>
          <cell r="F23" t="str">
            <v>TOTAL CONNECTED LOAD PER PHASE</v>
          </cell>
          <cell r="K23">
            <v>8.966666666666665</v>
          </cell>
          <cell r="L23">
            <v>7.4666666666666659</v>
          </cell>
          <cell r="M23">
            <v>7.4666666666666659</v>
          </cell>
          <cell r="R23" t="str">
            <v>TOTAL</v>
          </cell>
        </row>
        <row r="26">
          <cell r="A26" t="str">
            <v xml:space="preserve">MAX. DEMAND (3 PH.):   </v>
          </cell>
          <cell r="B26">
            <v>23.899999999999995</v>
          </cell>
          <cell r="C26" t="str">
            <v>kW</v>
          </cell>
          <cell r="D26" t="str">
            <v xml:space="preserve">AT </v>
          </cell>
          <cell r="E26">
            <v>1</v>
          </cell>
          <cell r="F26" t="str">
            <v>DIVERSITY</v>
          </cell>
          <cell r="J26" t="str">
            <v xml:space="preserve">TOTAL CONNECTED LOAD(3 PH)   </v>
          </cell>
          <cell r="N26">
            <v>23.899999999999995</v>
          </cell>
          <cell r="O26" t="str">
            <v>kW</v>
          </cell>
        </row>
        <row r="29">
          <cell r="A29" t="str">
            <v>CONTRACTOR:</v>
          </cell>
          <cell r="K29" t="str">
            <v xml:space="preserve">TEL: </v>
          </cell>
          <cell r="O29" t="str">
            <v xml:space="preserve">FAX: </v>
          </cell>
        </row>
        <row r="31">
          <cell r="A31" t="str">
            <v>Type of Meter (Rating of Incomer):</v>
          </cell>
          <cell r="F31" t="str">
            <v>(1)  Upto 60A</v>
          </cell>
          <cell r="H31" t="str">
            <v>(2)  Upto 100 A</v>
          </cell>
          <cell r="K31" t="str">
            <v>(3)  125 - 160 A</v>
          </cell>
          <cell r="M31" t="str">
            <v>(4)  LV CT ..2500/5.......A</v>
          </cell>
          <cell r="Q31" t="str">
            <v>HV  CT .........../..........A</v>
          </cell>
        </row>
        <row r="32">
          <cell r="F32" t="str">
            <v xml:space="preserve">       (1 Phase)</v>
          </cell>
          <cell r="H32" t="str">
            <v xml:space="preserve">       (3 Phase)</v>
          </cell>
          <cell r="K32" t="str">
            <v xml:space="preserve">       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SB_H_COVER"/>
      <sheetName val="MSB_H_5"/>
      <sheetName val="SB_HC_LGM_3"/>
      <sheetName val="DB_HC_G_1_1_"/>
      <sheetName val="DB_HC_G_1_2_"/>
      <sheetName val="DB_HC_G_1_3_"/>
      <sheetName val="DB_HC_G_2_1_"/>
      <sheetName val="DB_HC_G_2_2_"/>
      <sheetName val="DB_HC_GM_1_1_"/>
      <sheetName val="DB_HC_1_1_1_"/>
      <sheetName val="DB_HC_1_1_2_"/>
      <sheetName val="DB_HC_1_2_1_"/>
      <sheetName val="DB_HC_1M_1_1_"/>
      <sheetName val="DB_HC_1M_1_2_"/>
      <sheetName val="DB_HC_2_1_1_"/>
      <sheetName val="DB_HC_2_1_2_"/>
      <sheetName val="DB_HC_2M_1_1_"/>
      <sheetName val="DB_HC_2M_1_2_"/>
      <sheetName val="DB_HC_3_1_1_"/>
      <sheetName val="DB_HC_3_1_2_"/>
      <sheetName val="SBE_HC_LGM_4"/>
      <sheetName val="MCPE_HC_LG_M_1"/>
      <sheetName val="LMCP_JF_G_1"/>
      <sheetName val="LMCP_JF_G_2"/>
      <sheetName val="LMCP_JF_GM_1"/>
      <sheetName val="LMCP_JF_GM_2"/>
      <sheetName val="MCPE_HC_1_1"/>
      <sheetName val="LMCP_JF_1_1"/>
      <sheetName val="LMCP_JF_1_2"/>
      <sheetName val="LMCP_JF_1M_1"/>
      <sheetName val="LMCP_JF_1M_2"/>
      <sheetName val="MCPE_HC_2_1"/>
      <sheetName val="LMCP_JF_2_1"/>
      <sheetName val="LMCP_JF_2_2"/>
      <sheetName val="LMCP_JF_2_1A"/>
      <sheetName val="LMCP_JF_2_2A"/>
      <sheetName val="LMCP_JF_2M_1"/>
      <sheetName val="LMCP_JF_2M_2"/>
      <sheetName val="MCPE_HC_3_1"/>
      <sheetName val="LMCP_JF_3_1"/>
      <sheetName val="LMCP_JF_3_1A"/>
      <sheetName val="LMCP_JF_3_2A"/>
      <sheetName val="MCPE_H_4_1"/>
      <sheetName val="LMCP_SEF_H_4_1"/>
      <sheetName val="LMCP_SEF_H_4_3"/>
      <sheetName val="SB_H_3_F"/>
      <sheetName val="DB_H_3_F_1_1_"/>
      <sheetName val="DB_H_3_F_1_2_"/>
      <sheetName val="DB_H_3_F_2"/>
      <sheetName val="LMCP_AHU_H_3_5"/>
      <sheetName val="SB_H_4_B"/>
      <sheetName val="DB_H_4_B_1_1_"/>
      <sheetName val="DB_H_4_B_1_2_"/>
      <sheetName val="DB_H_4_B_1_3_"/>
      <sheetName val="DB_H_4_B_2_1_"/>
      <sheetName val="DB_H_4_B_2_2_"/>
      <sheetName val="DB_H_4_B_2_3_"/>
      <sheetName val="LMCP_AHU_H_4_5"/>
      <sheetName val="LMCP_AHU_H_4_6"/>
      <sheetName val="LMCP_AHU_H_4_7"/>
      <sheetName val="SB_H_4_KE_BH _1_"/>
      <sheetName val="SB_H_4_KE_BH _2_"/>
      <sheetName val="LMCP_KEF_H_4_1"/>
      <sheetName val="LMCP_PAU_H_4_1"/>
      <sheetName val="MCP_HC_LG_2"/>
      <sheetName val="LMCP_SF_EF_H_TX_1"/>
      <sheetName val="LMCP_SF_EF_H_TX_2"/>
      <sheetName val="LMCP_SF_EF_H_TX_3"/>
      <sheetName val="LMCP_SF_EF_HA_TX_1"/>
      <sheetName val="SBE_HC_LGM_2"/>
      <sheetName val="LMCP_CEF_H_G_1"/>
      <sheetName val="LMCP_CEF_H_GM_1"/>
      <sheetName val="LMCP_CEF_H_1_1"/>
      <sheetName val="LMCP_CEF_H_1M_1"/>
      <sheetName val="LMCP_CEF_H_2_1"/>
      <sheetName val="LMCP_CEF_H_2M_1"/>
      <sheetName val="LMCP_CEF_H_3_1"/>
      <sheetName val="LMCP_JF_B2_1"/>
      <sheetName val="LMCP_JF_B1_1"/>
      <sheetName val="LMCP_JF_LG_1"/>
      <sheetName val="LMCP_JF_LGM_1"/>
      <sheetName val="SBE_H_G_3_(FCC)_"/>
      <sheetName val="LMCP_DX_FCU_H_G_1"/>
      <sheetName val="LMCP_DX_FCU_H_LG_1"/>
      <sheetName val="LMCP_DX_FCU_H_LG_2"/>
      <sheetName val="LMCP_DX_FCU_H_LGM_1"/>
      <sheetName val="LMCP_DX_FCU_H_LGM_2"/>
      <sheetName val="LMCP_DX_FCU_H_LGM_3"/>
      <sheetName val="LMCP_DX_FCU_H_LGM_4"/>
      <sheetName val="LMCP_DX_FCU_H_LGM_5"/>
      <sheetName val="EMSB_H_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>
        <row r="1">
          <cell r="A1" t="str">
            <v>PROJECT: DUBAI MARINA MALL &amp; HOTEL/APARTMENT</v>
          </cell>
          <cell r="C1" t="str">
            <v xml:space="preserve">         Meinhardt Singapore Pte. Ltd</v>
          </cell>
          <cell r="I1" t="str">
            <v>DETAILS OF CONNECTED LOAD/ MAX. DEMAND</v>
          </cell>
        </row>
        <row r="2">
          <cell r="I2" t="str">
            <v>OWNER:</v>
          </cell>
          <cell r="J2" t="str">
            <v>EMAAR PROPERTIES PSJC</v>
          </cell>
          <cell r="O2" t="str">
            <v>AREA:</v>
          </cell>
          <cell r="Q2" t="str">
            <v>DUBAI,UNITED ARAB EMIRATES</v>
          </cell>
        </row>
        <row r="3">
          <cell r="E3" t="str">
            <v xml:space="preserve"> </v>
          </cell>
          <cell r="O3" t="str">
            <v xml:space="preserve"> LOCATION OF MCP: </v>
          </cell>
          <cell r="R3" t="str">
            <v>GROUND FLOOR</v>
          </cell>
        </row>
        <row r="4">
          <cell r="A4" t="str">
            <v>Fax: 6273 0788</v>
          </cell>
          <cell r="B4" t="str">
            <v>SBE-H-G-3 (FCC)</v>
          </cell>
          <cell r="I4" t="str">
            <v>CONSULTANT:MEINHARDT SINGAPORE PTE LTD.</v>
          </cell>
        </row>
        <row r="6">
          <cell r="A6" t="str">
            <v>CIRCUIT/</v>
          </cell>
          <cell r="B6" t="str">
            <v>SP/</v>
          </cell>
          <cell r="C6" t="str">
            <v>RATING - AMPS</v>
          </cell>
          <cell r="F6" t="str">
            <v>Isc FAULT</v>
          </cell>
          <cell r="G6" t="str">
            <v>FR or
XLPE</v>
          </cell>
          <cell r="H6" t="str">
            <v>CABLE SIZE</v>
          </cell>
          <cell r="J6" t="str">
            <v>CPC
SIZE-</v>
          </cell>
          <cell r="K6" t="str">
            <v>CONNECTED LOAD - KW</v>
          </cell>
          <cell r="N6" t="str">
            <v>PROPOSED TYPE &amp; NO. OF
KWH METERS</v>
          </cell>
        </row>
        <row r="7">
          <cell r="A7" t="str">
            <v>FEEDER
DB No.</v>
          </cell>
          <cell r="B7" t="str">
            <v>TP</v>
          </cell>
          <cell r="C7" t="str">
            <v>F/S
ISO</v>
          </cell>
          <cell r="D7" t="str">
            <v>MCCB</v>
          </cell>
          <cell r="E7" t="str">
            <v>MCB</v>
          </cell>
          <cell r="F7" t="str">
            <v>DUTY
KA</v>
          </cell>
          <cell r="G7" t="str">
            <v>SWA/
LS0H</v>
          </cell>
          <cell r="H7" t="str">
            <v>2/4 X1C
mm^2</v>
          </cell>
          <cell r="I7" t="str">
            <v>2/3/4C
mm^2</v>
          </cell>
          <cell r="J7" t="str">
            <v>1c
mm^2</v>
          </cell>
          <cell r="K7" t="str">
            <v>R-PH
KW</v>
          </cell>
          <cell r="L7" t="str">
            <v>Y-PH
KW</v>
          </cell>
          <cell r="M7" t="str">
            <v>B-PH
KW</v>
          </cell>
          <cell r="N7" t="str">
            <v>1 - PH
(1)</v>
          </cell>
          <cell r="O7" t="str">
            <v>3 - PH
(2)</v>
          </cell>
          <cell r="P7" t="str">
            <v>3 - PH
(3)</v>
          </cell>
          <cell r="Q7" t="str">
            <v>LV/H
CT (4)</v>
          </cell>
          <cell r="R7" t="str">
            <v>REMARKS</v>
          </cell>
        </row>
        <row r="8">
          <cell r="A8" t="str">
            <v>INCOMER (NON AUTO)</v>
          </cell>
          <cell r="B8" t="str">
            <v>TP</v>
          </cell>
          <cell r="D8">
            <v>300</v>
          </cell>
          <cell r="F8">
            <v>50</v>
          </cell>
          <cell r="G8" t="str">
            <v>FR/SWA/ LSOH</v>
          </cell>
          <cell r="I8" t="str">
            <v>4c 185</v>
          </cell>
          <cell r="J8" t="str">
            <v>1c 95</v>
          </cell>
          <cell r="K8">
            <v>47.5</v>
          </cell>
          <cell r="L8">
            <v>42.5</v>
          </cell>
          <cell r="M8">
            <v>42.5</v>
          </cell>
        </row>
        <row r="9">
          <cell r="A9" t="str">
            <v>OUTGOING</v>
          </cell>
        </row>
        <row r="10">
          <cell r="A10" t="str">
            <v>I-LMCP-DX--FCU-H-G-1</v>
          </cell>
          <cell r="B10">
            <v>3</v>
          </cell>
          <cell r="D10">
            <v>40</v>
          </cell>
          <cell r="F10">
            <v>22</v>
          </cell>
          <cell r="G10" t="str">
            <v>XLPE/SWA/ LSOH</v>
          </cell>
          <cell r="I10" t="str">
            <v>4c 10</v>
          </cell>
          <cell r="J10" t="str">
            <v>1c 10</v>
          </cell>
          <cell r="K10">
            <v>1.8333333333333333</v>
          </cell>
          <cell r="L10">
            <v>1.3333333333333333</v>
          </cell>
          <cell r="M10">
            <v>1.3333333333333333</v>
          </cell>
        </row>
        <row r="11">
          <cell r="A11" t="str">
            <v>I-LMCP-DX-FCU-H-LG-1</v>
          </cell>
          <cell r="B11">
            <v>3</v>
          </cell>
          <cell r="D11">
            <v>63</v>
          </cell>
          <cell r="F11">
            <v>22</v>
          </cell>
          <cell r="G11" t="str">
            <v>XLPE/SWA/ LSOH</v>
          </cell>
          <cell r="I11" t="str">
            <v>4c 16</v>
          </cell>
          <cell r="J11" t="str">
            <v>1c 16</v>
          </cell>
          <cell r="K11">
            <v>4.5</v>
          </cell>
          <cell r="L11">
            <v>4</v>
          </cell>
          <cell r="M11">
            <v>4</v>
          </cell>
        </row>
        <row r="12">
          <cell r="A12" t="str">
            <v>I-LMCP-DX-FCU-H-LG-2</v>
          </cell>
          <cell r="B12">
            <v>3</v>
          </cell>
          <cell r="D12">
            <v>40</v>
          </cell>
          <cell r="F12">
            <v>22</v>
          </cell>
          <cell r="G12" t="str">
            <v>XLPE/SWA/ LSOH</v>
          </cell>
          <cell r="I12" t="str">
            <v>4c 10</v>
          </cell>
          <cell r="J12" t="str">
            <v>1c 10</v>
          </cell>
          <cell r="K12">
            <v>1</v>
          </cell>
          <cell r="L12">
            <v>0.5</v>
          </cell>
          <cell r="M12">
            <v>0.5</v>
          </cell>
        </row>
        <row r="13">
          <cell r="A13" t="str">
            <v>I-LMCP-DX-FCU-H-LGM-1</v>
          </cell>
          <cell r="B13">
            <v>3</v>
          </cell>
          <cell r="D13">
            <v>40</v>
          </cell>
          <cell r="F13">
            <v>22</v>
          </cell>
          <cell r="G13" t="str">
            <v>XLPE/SWA/ LSOH</v>
          </cell>
          <cell r="I13" t="str">
            <v>4c 10</v>
          </cell>
          <cell r="J13" t="str">
            <v>1c 10</v>
          </cell>
          <cell r="K13">
            <v>1.8333333333333333</v>
          </cell>
          <cell r="L13">
            <v>1.3333333333333333</v>
          </cell>
          <cell r="M13">
            <v>1.3333333333333333</v>
          </cell>
        </row>
        <row r="14">
          <cell r="A14" t="str">
            <v>I-LMCP-DX-FCU-H-LGM-2</v>
          </cell>
          <cell r="B14">
            <v>3</v>
          </cell>
          <cell r="D14">
            <v>40</v>
          </cell>
          <cell r="F14">
            <v>22</v>
          </cell>
          <cell r="G14" t="str">
            <v>XLPE/SWA/ LSOH</v>
          </cell>
          <cell r="I14" t="str">
            <v>4c 10</v>
          </cell>
          <cell r="J14" t="str">
            <v>1c 10</v>
          </cell>
          <cell r="K14">
            <v>1.8333333333333333</v>
          </cell>
          <cell r="L14">
            <v>1.3333333333333333</v>
          </cell>
          <cell r="M14">
            <v>1.3333333333333333</v>
          </cell>
        </row>
        <row r="15">
          <cell r="A15" t="str">
            <v>I-LMCP-DX-FCU-H-LGM-3</v>
          </cell>
          <cell r="B15">
            <v>3</v>
          </cell>
          <cell r="D15">
            <v>40</v>
          </cell>
          <cell r="F15">
            <v>22</v>
          </cell>
          <cell r="G15" t="str">
            <v>XLPE/SWA/ LSOH</v>
          </cell>
          <cell r="I15" t="str">
            <v>4c 10</v>
          </cell>
          <cell r="J15" t="str">
            <v>1c 10</v>
          </cell>
          <cell r="K15">
            <v>3.1666666666666665</v>
          </cell>
          <cell r="L15">
            <v>2.6666666666666665</v>
          </cell>
          <cell r="M15">
            <v>2.6666666666666665</v>
          </cell>
        </row>
        <row r="16">
          <cell r="A16" t="str">
            <v>I-LMCP-DX-FCU-H-LGM-4</v>
          </cell>
          <cell r="B16">
            <v>3</v>
          </cell>
          <cell r="D16">
            <v>40</v>
          </cell>
          <cell r="F16">
            <v>22</v>
          </cell>
          <cell r="G16" t="str">
            <v>XLPE/SWA/ LSOH</v>
          </cell>
          <cell r="I16" t="str">
            <v>4c 10</v>
          </cell>
          <cell r="J16" t="str">
            <v>1c 10</v>
          </cell>
          <cell r="K16">
            <v>3.1666666666666665</v>
          </cell>
          <cell r="L16">
            <v>2.6666666666666665</v>
          </cell>
          <cell r="M16">
            <v>2.6666666666666665</v>
          </cell>
        </row>
        <row r="17">
          <cell r="A17" t="str">
            <v>I-LMCP-DX-FCU-H-LGM-5</v>
          </cell>
          <cell r="B17">
            <v>3</v>
          </cell>
          <cell r="D17">
            <v>40</v>
          </cell>
          <cell r="F17">
            <v>22</v>
          </cell>
          <cell r="G17" t="str">
            <v>XLPE/SWA/ LSOH</v>
          </cell>
          <cell r="I17" t="str">
            <v>4c 10</v>
          </cell>
          <cell r="J17" t="str">
            <v>1c 10</v>
          </cell>
          <cell r="K17">
            <v>5.833333333333333</v>
          </cell>
          <cell r="L17">
            <v>5.333333333333333</v>
          </cell>
          <cell r="M17">
            <v>5.333333333333333</v>
          </cell>
        </row>
        <row r="18">
          <cell r="A18" t="str">
            <v>PA SYSTEM</v>
          </cell>
          <cell r="B18">
            <v>3</v>
          </cell>
          <cell r="D18">
            <v>63</v>
          </cell>
          <cell r="F18">
            <v>22</v>
          </cell>
          <cell r="G18" t="str">
            <v>XLPE/SWA/LSOH</v>
          </cell>
          <cell r="I18" t="str">
            <v>4c 16</v>
          </cell>
          <cell r="J18" t="str">
            <v>1c 16</v>
          </cell>
          <cell r="K18">
            <v>5.333333333333333</v>
          </cell>
          <cell r="L18">
            <v>5.333333333333333</v>
          </cell>
          <cell r="M18">
            <v>5.333333333333333</v>
          </cell>
        </row>
        <row r="19">
          <cell r="A19" t="str">
            <v>I-UPS-H-1</v>
          </cell>
          <cell r="B19">
            <v>3</v>
          </cell>
          <cell r="D19">
            <v>63</v>
          </cell>
          <cell r="F19">
            <v>22</v>
          </cell>
          <cell r="G19" t="str">
            <v>XLPE/SWA/LSOH</v>
          </cell>
          <cell r="I19" t="str">
            <v>4c 16</v>
          </cell>
          <cell r="J19" t="str">
            <v>1c 16</v>
          </cell>
          <cell r="K19">
            <v>8</v>
          </cell>
          <cell r="L19">
            <v>8</v>
          </cell>
          <cell r="M19">
            <v>8</v>
          </cell>
        </row>
        <row r="20">
          <cell r="A20" t="str">
            <v>I-UPS-H-2</v>
          </cell>
          <cell r="B20">
            <v>3</v>
          </cell>
          <cell r="D20">
            <v>63</v>
          </cell>
          <cell r="F20">
            <v>22</v>
          </cell>
          <cell r="G20" t="str">
            <v>XLPE/SWA/LSOH</v>
          </cell>
          <cell r="I20" t="str">
            <v>4c 16</v>
          </cell>
          <cell r="J20" t="str">
            <v>1c 16</v>
          </cell>
          <cell r="K20">
            <v>8</v>
          </cell>
          <cell r="L20">
            <v>8</v>
          </cell>
          <cell r="M20">
            <v>8</v>
          </cell>
        </row>
        <row r="21">
          <cell r="A21" t="str">
            <v>CCTV SYSTEM OUTLET (4)</v>
          </cell>
          <cell r="B21">
            <v>1</v>
          </cell>
          <cell r="D21">
            <v>20</v>
          </cell>
          <cell r="F21">
            <v>22</v>
          </cell>
          <cell r="G21" t="str">
            <v>XLPE/SWA/LSOH</v>
          </cell>
          <cell r="I21" t="str">
            <v>2c 4</v>
          </cell>
          <cell r="J21" t="str">
            <v>1c 4</v>
          </cell>
          <cell r="K21">
            <v>1</v>
          </cell>
        </row>
        <row r="22">
          <cell r="A22" t="str">
            <v>CCTV SYSTEM OUTLET (4)</v>
          </cell>
          <cell r="B22">
            <v>1</v>
          </cell>
          <cell r="D22">
            <v>20</v>
          </cell>
          <cell r="F22">
            <v>22</v>
          </cell>
          <cell r="G22" t="str">
            <v>XLPE/SWA/LSOH</v>
          </cell>
          <cell r="I22" t="str">
            <v>2c 4</v>
          </cell>
          <cell r="J22" t="str">
            <v>1c 4</v>
          </cell>
          <cell r="L22">
            <v>1</v>
          </cell>
        </row>
        <row r="23">
          <cell r="A23" t="str">
            <v>SMOKE CONTROL SYSTEM OUTLET (2)</v>
          </cell>
          <cell r="B23">
            <v>1</v>
          </cell>
          <cell r="D23">
            <v>20</v>
          </cell>
          <cell r="F23">
            <v>22</v>
          </cell>
          <cell r="G23" t="str">
            <v>XLPE/SWA/LSOH</v>
          </cell>
          <cell r="I23" t="str">
            <v>2c 4</v>
          </cell>
          <cell r="J23" t="str">
            <v>1c 4</v>
          </cell>
          <cell r="M23">
            <v>1</v>
          </cell>
        </row>
        <row r="24">
          <cell r="A24" t="str">
            <v>WATER PUMP CONTROL PANEL OUTLET (2)</v>
          </cell>
          <cell r="B24">
            <v>1</v>
          </cell>
          <cell r="D24">
            <v>20</v>
          </cell>
          <cell r="F24">
            <v>22</v>
          </cell>
          <cell r="G24" t="str">
            <v>XLPE/SWA/LSOH</v>
          </cell>
          <cell r="I24" t="str">
            <v>2c 4</v>
          </cell>
          <cell r="J24" t="str">
            <v>1c 4</v>
          </cell>
          <cell r="K24">
            <v>1</v>
          </cell>
        </row>
        <row r="25">
          <cell r="A25" t="str">
            <v>FACP CONVENIENCE OUTLET (2)</v>
          </cell>
          <cell r="B25">
            <v>1</v>
          </cell>
          <cell r="D25">
            <v>20</v>
          </cell>
          <cell r="F25">
            <v>22</v>
          </cell>
          <cell r="G25" t="str">
            <v>XLPE/SWA/LSOH</v>
          </cell>
          <cell r="I25" t="str">
            <v>2c 4</v>
          </cell>
          <cell r="J25" t="str">
            <v>1c 4</v>
          </cell>
          <cell r="L25">
            <v>1</v>
          </cell>
        </row>
        <row r="26">
          <cell r="A26" t="str">
            <v>GENERAL PURPOSE CONVENIENCE OUTLET (2)</v>
          </cell>
          <cell r="B26">
            <v>1</v>
          </cell>
          <cell r="D26">
            <v>20</v>
          </cell>
          <cell r="F26">
            <v>22</v>
          </cell>
          <cell r="G26" t="str">
            <v>XLPE/SWA/LSOH</v>
          </cell>
          <cell r="I26" t="str">
            <v>2c 4</v>
          </cell>
          <cell r="J26" t="str">
            <v>1c 4</v>
          </cell>
          <cell r="M26">
            <v>1</v>
          </cell>
        </row>
        <row r="27">
          <cell r="A27" t="str">
            <v>GENERAL PURPOSE CONVENIENCE OUTLET (2)</v>
          </cell>
          <cell r="B27">
            <v>1</v>
          </cell>
          <cell r="D27">
            <v>20</v>
          </cell>
          <cell r="F27">
            <v>22</v>
          </cell>
          <cell r="G27" t="str">
            <v>XLPE/SWA/LSOH</v>
          </cell>
          <cell r="I27" t="str">
            <v>2c 4</v>
          </cell>
          <cell r="J27" t="str">
            <v>1c 4</v>
          </cell>
          <cell r="K27">
            <v>1</v>
          </cell>
        </row>
        <row r="28">
          <cell r="A28" t="str">
            <v xml:space="preserve"> </v>
          </cell>
        </row>
        <row r="29">
          <cell r="A29" t="str">
            <v xml:space="preserve">CONNECTED TO : </v>
          </cell>
          <cell r="B29" t="str">
            <v>MSB-H-3</v>
          </cell>
          <cell r="F29" t="str">
            <v>TOTAL CONNECTED LOAD PER PHASE</v>
          </cell>
          <cell r="K29">
            <v>47.5</v>
          </cell>
          <cell r="L29">
            <v>42.5</v>
          </cell>
          <cell r="M29">
            <v>42.5</v>
          </cell>
          <cell r="R29" t="str">
            <v>TOTAL</v>
          </cell>
        </row>
        <row r="32">
          <cell r="A32" t="str">
            <v xml:space="preserve">MAX. DEMAND (3 PH.):   </v>
          </cell>
          <cell r="B32">
            <v>119.25</v>
          </cell>
          <cell r="C32" t="str">
            <v>kW</v>
          </cell>
          <cell r="D32" t="str">
            <v xml:space="preserve">AT </v>
          </cell>
          <cell r="E32">
            <v>0.9</v>
          </cell>
          <cell r="F32" t="str">
            <v>DIVERSITY</v>
          </cell>
          <cell r="J32" t="str">
            <v xml:space="preserve">TOTAL CONNECTED LOAD(3 PH)   </v>
          </cell>
          <cell r="N32">
            <v>132.5</v>
          </cell>
          <cell r="O32" t="str">
            <v>kW</v>
          </cell>
        </row>
        <row r="35">
          <cell r="A35" t="str">
            <v>CONTRACTOR:</v>
          </cell>
          <cell r="K35" t="str">
            <v xml:space="preserve">TEL: </v>
          </cell>
          <cell r="O35" t="str">
            <v xml:space="preserve">FAX: </v>
          </cell>
        </row>
        <row r="37">
          <cell r="A37" t="str">
            <v>Type of Meter (Rating of Incomer):</v>
          </cell>
          <cell r="F37" t="str">
            <v>(1)  Upto 60A</v>
          </cell>
          <cell r="H37" t="str">
            <v>(2)  Upto 100 A</v>
          </cell>
          <cell r="K37" t="str">
            <v>(3)  125 - 160 A</v>
          </cell>
          <cell r="M37" t="str">
            <v>(4)  LV CT ..2500/5.......A</v>
          </cell>
          <cell r="Q37" t="str">
            <v>HV  CT .........../..........A</v>
          </cell>
        </row>
        <row r="38">
          <cell r="F38" t="str">
            <v xml:space="preserve">       (1 Phase)</v>
          </cell>
          <cell r="H38" t="str">
            <v xml:space="preserve">       (3 Phase)</v>
          </cell>
          <cell r="K38" t="str">
            <v xml:space="preserve">       </v>
          </cell>
        </row>
      </sheetData>
      <sheetData sheetId="82">
        <row r="1">
          <cell r="A1" t="str">
            <v>PROJECT: DUBAI MARINA MALL &amp; HOTEL/APARTMENTS</v>
          </cell>
          <cell r="I1" t="str">
            <v>DETAILS OF CONNECTED LOAD/ MAX. DEMAND</v>
          </cell>
        </row>
        <row r="2">
          <cell r="I2" t="str">
            <v>OWNER:</v>
          </cell>
          <cell r="J2" t="str">
            <v>EMAAR PROPERTIES PSJC</v>
          </cell>
          <cell r="O2" t="str">
            <v>AREA:</v>
          </cell>
          <cell r="Q2" t="str">
            <v>DUBAI,UNITED ARAB EMIRATES</v>
          </cell>
        </row>
        <row r="3">
          <cell r="E3" t="str">
            <v xml:space="preserve"> </v>
          </cell>
          <cell r="O3" t="str">
            <v xml:space="preserve"> LOCATION OF MCP: </v>
          </cell>
          <cell r="R3" t="str">
            <v>GROUND FLOOR</v>
          </cell>
        </row>
        <row r="4">
          <cell r="A4" t="str">
            <v xml:space="preserve">MDB / SMDB </v>
          </cell>
          <cell r="B4" t="str">
            <v>LMCP-DX-FCU-H-G-1</v>
          </cell>
          <cell r="I4" t="str">
            <v>CONSULTANT:MEINHARDT SINGAPORE PTE LTD.</v>
          </cell>
        </row>
        <row r="6">
          <cell r="A6" t="str">
            <v>CIRCUIT/</v>
          </cell>
          <cell r="B6" t="str">
            <v>SP/</v>
          </cell>
          <cell r="C6" t="str">
            <v>RATING - AMPS</v>
          </cell>
          <cell r="F6" t="str">
            <v>Isc FAULT</v>
          </cell>
          <cell r="G6" t="str">
            <v>FR or
XLPE</v>
          </cell>
          <cell r="H6" t="str">
            <v>CABLE SIZE</v>
          </cell>
          <cell r="J6" t="str">
            <v>CPC
SIZE-</v>
          </cell>
          <cell r="K6" t="str">
            <v>CONNECTED LOAD - KW</v>
          </cell>
          <cell r="N6" t="str">
            <v>PROPOSED TYPE &amp; NO. OF
KWH METERS</v>
          </cell>
        </row>
        <row r="7">
          <cell r="A7" t="str">
            <v>FEEDER
DB No.</v>
          </cell>
          <cell r="B7" t="str">
            <v>TP</v>
          </cell>
          <cell r="C7" t="str">
            <v>F/S
ISO</v>
          </cell>
          <cell r="D7" t="str">
            <v>MCCB</v>
          </cell>
          <cell r="E7" t="str">
            <v>MCB</v>
          </cell>
          <cell r="F7" t="str">
            <v>DUTY
KA</v>
          </cell>
          <cell r="G7" t="str">
            <v>SWA/
LS0H</v>
          </cell>
          <cell r="H7" t="str">
            <v>2/4 X1C
mm^2</v>
          </cell>
          <cell r="I7" t="str">
            <v>2/3/4C
mm^2</v>
          </cell>
          <cell r="J7" t="str">
            <v>1c
mm^2</v>
          </cell>
          <cell r="K7" t="str">
            <v>R-PH
KW</v>
          </cell>
          <cell r="L7" t="str">
            <v>Y-PH
KW</v>
          </cell>
          <cell r="M7" t="str">
            <v>B-PH
KW</v>
          </cell>
          <cell r="N7" t="str">
            <v>1 - PH
(1)</v>
          </cell>
          <cell r="O7" t="str">
            <v>3 - PH
(2)</v>
          </cell>
          <cell r="P7" t="str">
            <v>3 - PH
(3)</v>
          </cell>
          <cell r="Q7" t="str">
            <v>LV/H
CT (4)</v>
          </cell>
          <cell r="R7" t="str">
            <v>REMARKS</v>
          </cell>
        </row>
        <row r="8">
          <cell r="A8" t="str">
            <v>INCOMER (NON AUTO)</v>
          </cell>
          <cell r="B8" t="str">
            <v>TP</v>
          </cell>
          <cell r="D8">
            <v>40</v>
          </cell>
          <cell r="F8">
            <v>22</v>
          </cell>
          <cell r="G8" t="str">
            <v>XLPE/SWA/ LSOH</v>
          </cell>
          <cell r="I8" t="str">
            <v>4c 10</v>
          </cell>
          <cell r="J8" t="str">
            <v>1c 10</v>
          </cell>
          <cell r="K8">
            <v>1.8333333333333333</v>
          </cell>
          <cell r="L8">
            <v>1.3333333333333333</v>
          </cell>
          <cell r="M8">
            <v>1.3333333333333333</v>
          </cell>
        </row>
        <row r="9">
          <cell r="A9" t="str">
            <v>OUTGOING</v>
          </cell>
        </row>
        <row r="10">
          <cell r="A10" t="str">
            <v>DX/FCU-H-G-1&amp; DX/FCU-H-G-1 (STAND BY)</v>
          </cell>
          <cell r="B10" t="str">
            <v>TP</v>
          </cell>
          <cell r="D10">
            <v>32</v>
          </cell>
          <cell r="F10">
            <v>22</v>
          </cell>
          <cell r="G10" t="str">
            <v>XLPE/SWA/ LSOH</v>
          </cell>
          <cell r="I10" t="str">
            <v>3c 6</v>
          </cell>
          <cell r="J10" t="str">
            <v>1c 6</v>
          </cell>
          <cell r="K10">
            <v>1.3333333333333333</v>
          </cell>
          <cell r="L10">
            <v>1.3333333333333333</v>
          </cell>
          <cell r="M10">
            <v>1.3333333333333333</v>
          </cell>
          <cell r="R10" t="str">
            <v>100mA ELCB + DOL STARTER</v>
          </cell>
        </row>
        <row r="12">
          <cell r="A12" t="str">
            <v>CONTROLS</v>
          </cell>
          <cell r="B12" t="str">
            <v>SP</v>
          </cell>
          <cell r="D12">
            <v>10</v>
          </cell>
          <cell r="F12">
            <v>22</v>
          </cell>
          <cell r="G12" t="str">
            <v>XLPE/SWA/ LSOH</v>
          </cell>
          <cell r="I12" t="str">
            <v>2c 1.5</v>
          </cell>
          <cell r="K12">
            <v>0.5</v>
          </cell>
        </row>
        <row r="18">
          <cell r="A18" t="str">
            <v xml:space="preserve"> </v>
          </cell>
        </row>
        <row r="19">
          <cell r="A19" t="str">
            <v>CONNECTED TO :</v>
          </cell>
          <cell r="B19" t="str">
            <v>SBE-H-G-3 (FCC)</v>
          </cell>
          <cell r="F19" t="str">
            <v>TOTAL CONNECTED LOAD PER PHASE</v>
          </cell>
          <cell r="K19">
            <v>1.8333333333333333</v>
          </cell>
          <cell r="L19">
            <v>1.3333333333333333</v>
          </cell>
          <cell r="M19">
            <v>1.3333333333333333</v>
          </cell>
          <cell r="R19" t="str">
            <v>TOTAL</v>
          </cell>
        </row>
        <row r="22">
          <cell r="A22" t="str">
            <v xml:space="preserve">MAX. DEMAND (3 PH.):   </v>
          </cell>
          <cell r="B22">
            <v>4.5</v>
          </cell>
          <cell r="C22" t="str">
            <v>kW</v>
          </cell>
          <cell r="D22" t="str">
            <v xml:space="preserve">AT </v>
          </cell>
          <cell r="E22">
            <v>1</v>
          </cell>
          <cell r="F22" t="str">
            <v>DIVERSITY</v>
          </cell>
          <cell r="J22" t="str">
            <v xml:space="preserve">TOTAL CONNECTED LOAD(3 PH)   </v>
          </cell>
          <cell r="N22">
            <v>4.5</v>
          </cell>
          <cell r="O22" t="str">
            <v>kW</v>
          </cell>
        </row>
        <row r="25">
          <cell r="A25" t="str">
            <v>CONTRACTOR:</v>
          </cell>
          <cell r="K25" t="str">
            <v xml:space="preserve">TEL: </v>
          </cell>
          <cell r="O25" t="str">
            <v xml:space="preserve">FAX: </v>
          </cell>
        </row>
        <row r="27">
          <cell r="A27" t="str">
            <v>Type of Meter (Rating of Incomer):</v>
          </cell>
          <cell r="F27" t="str">
            <v>(1)  Upto 60A</v>
          </cell>
          <cell r="H27" t="str">
            <v>(2)  Upto 100 A</v>
          </cell>
          <cell r="K27" t="str">
            <v>(3)  125 - 160 A</v>
          </cell>
          <cell r="M27" t="str">
            <v>(4)  LV CT ..2500/5.......A</v>
          </cell>
          <cell r="Q27" t="str">
            <v>HV  CT .........../..........A</v>
          </cell>
        </row>
        <row r="28">
          <cell r="F28" t="str">
            <v xml:space="preserve">       (1 Phase)</v>
          </cell>
          <cell r="H28" t="str">
            <v xml:space="preserve">       (3 Phase)</v>
          </cell>
          <cell r="K28" t="str">
            <v xml:space="preserve">       </v>
          </cell>
        </row>
      </sheetData>
      <sheetData sheetId="83">
        <row r="1">
          <cell r="A1" t="str">
            <v>PROJECT: DUBAI MARINA MALL &amp; HOTEL/APARTMENTS</v>
          </cell>
          <cell r="I1" t="str">
            <v>DETAILS OF CONNECTED LOAD/ MAX. DEMAND</v>
          </cell>
        </row>
        <row r="2">
          <cell r="I2" t="str">
            <v>OWNER:</v>
          </cell>
          <cell r="J2" t="str">
            <v>EMAAR PROPERTIES PSJC</v>
          </cell>
          <cell r="O2" t="str">
            <v>AREA:</v>
          </cell>
          <cell r="Q2" t="str">
            <v>DUBAI,UNITED ARAB EMIRATES</v>
          </cell>
        </row>
        <row r="3">
          <cell r="E3" t="str">
            <v xml:space="preserve"> </v>
          </cell>
          <cell r="O3" t="str">
            <v xml:space="preserve"> LOCATION OF MCP: </v>
          </cell>
          <cell r="R3" t="str">
            <v>LOWER GROUND</v>
          </cell>
        </row>
        <row r="4">
          <cell r="A4" t="str">
            <v xml:space="preserve">MDB / SMDB </v>
          </cell>
          <cell r="B4" t="str">
            <v>LMCP-DX-FCU-H-LG-1</v>
          </cell>
          <cell r="I4" t="str">
            <v>CONSULTANT:MEINHARDT SINGAPORE PTE LTD.</v>
          </cell>
        </row>
        <row r="6">
          <cell r="A6" t="str">
            <v>CIRCUIT/</v>
          </cell>
          <cell r="B6" t="str">
            <v>SP/</v>
          </cell>
          <cell r="C6" t="str">
            <v>RATING - AMPS</v>
          </cell>
          <cell r="F6" t="str">
            <v>Isc FAULT</v>
          </cell>
          <cell r="G6" t="str">
            <v>FR or
XLPE</v>
          </cell>
          <cell r="H6" t="str">
            <v>CABLE SIZE</v>
          </cell>
          <cell r="J6" t="str">
            <v>CPC
SIZE-</v>
          </cell>
          <cell r="K6" t="str">
            <v>CONNECTED LOAD - KW</v>
          </cell>
          <cell r="N6" t="str">
            <v>PROPOSED TYPE &amp; NO. OF
KWH METERS</v>
          </cell>
        </row>
        <row r="7">
          <cell r="A7" t="str">
            <v>FEEDER
DB No.</v>
          </cell>
          <cell r="B7" t="str">
            <v>TP</v>
          </cell>
          <cell r="C7" t="str">
            <v>F/S
ISO</v>
          </cell>
          <cell r="D7" t="str">
            <v>MCCB</v>
          </cell>
          <cell r="E7" t="str">
            <v>MCB</v>
          </cell>
          <cell r="F7" t="str">
            <v>DUTY
KA</v>
          </cell>
          <cell r="G7" t="str">
            <v>SWA/
LS0H</v>
          </cell>
          <cell r="H7" t="str">
            <v>2/4 X1C
mm^2</v>
          </cell>
          <cell r="I7" t="str">
            <v>2/3/4C
mm^2</v>
          </cell>
          <cell r="J7" t="str">
            <v>1c
mm^2</v>
          </cell>
          <cell r="K7" t="str">
            <v>R-PH
KW</v>
          </cell>
          <cell r="L7" t="str">
            <v>Y-PH
KW</v>
          </cell>
          <cell r="M7" t="str">
            <v>B-PH
KW</v>
          </cell>
          <cell r="N7" t="str">
            <v>1 - PH
(1)</v>
          </cell>
          <cell r="O7" t="str">
            <v>3 - PH
(2)</v>
          </cell>
          <cell r="P7" t="str">
            <v>3 - PH
(3)</v>
          </cell>
          <cell r="Q7" t="str">
            <v>LV/H
CT (4)</v>
          </cell>
          <cell r="R7" t="str">
            <v>REMARKS</v>
          </cell>
        </row>
        <row r="8">
          <cell r="A8" t="str">
            <v>INCOMER (NON AUTO)</v>
          </cell>
          <cell r="B8" t="str">
            <v>TP</v>
          </cell>
          <cell r="D8">
            <v>63</v>
          </cell>
          <cell r="F8">
            <v>22</v>
          </cell>
          <cell r="G8" t="str">
            <v>XLPE/SWA/ LSOH</v>
          </cell>
          <cell r="I8" t="str">
            <v>4c 16</v>
          </cell>
          <cell r="J8" t="str">
            <v>1c 16</v>
          </cell>
          <cell r="K8">
            <v>4.5</v>
          </cell>
          <cell r="L8">
            <v>4</v>
          </cell>
          <cell r="M8">
            <v>4</v>
          </cell>
        </row>
        <row r="9">
          <cell r="A9" t="str">
            <v>OUTGOING</v>
          </cell>
        </row>
        <row r="10">
          <cell r="A10" t="str">
            <v>DX/FCU-H-LG-1a &amp; DX/FCU-H-LG-1a (STAND BY)</v>
          </cell>
          <cell r="B10" t="str">
            <v>TP</v>
          </cell>
          <cell r="D10">
            <v>40</v>
          </cell>
          <cell r="F10">
            <v>22</v>
          </cell>
          <cell r="G10" t="str">
            <v>XLPE/SWA/ LSOH</v>
          </cell>
          <cell r="I10" t="str">
            <v>3c 10</v>
          </cell>
          <cell r="J10" t="str">
            <v>1c 10</v>
          </cell>
          <cell r="K10">
            <v>2</v>
          </cell>
          <cell r="L10">
            <v>2</v>
          </cell>
          <cell r="M10">
            <v>2</v>
          </cell>
          <cell r="R10" t="str">
            <v>100mA ELCB + DOL STARTER</v>
          </cell>
        </row>
        <row r="12">
          <cell r="A12" t="str">
            <v>DX/FCU-H-LG-1b &amp; DX/FCU-H-LG-1b (STAND BY)</v>
          </cell>
          <cell r="B12" t="str">
            <v>TP</v>
          </cell>
          <cell r="D12">
            <v>40</v>
          </cell>
          <cell r="F12">
            <v>22</v>
          </cell>
          <cell r="G12" t="str">
            <v>XLPE/SWA/ LSOH</v>
          </cell>
          <cell r="I12" t="str">
            <v>3c 10</v>
          </cell>
          <cell r="J12" t="str">
            <v>1c 10</v>
          </cell>
          <cell r="K12">
            <v>2</v>
          </cell>
          <cell r="L12">
            <v>2</v>
          </cell>
          <cell r="M12">
            <v>2</v>
          </cell>
          <cell r="R12" t="str">
            <v>100mA ELCB + DOL STARTER</v>
          </cell>
        </row>
        <row r="14">
          <cell r="A14" t="str">
            <v>CONTROLS</v>
          </cell>
          <cell r="B14" t="str">
            <v>SP</v>
          </cell>
          <cell r="D14">
            <v>10</v>
          </cell>
          <cell r="F14">
            <v>22</v>
          </cell>
          <cell r="G14" t="str">
            <v>XLPE/SWA/ LSOH</v>
          </cell>
          <cell r="I14" t="str">
            <v>2c 1.5</v>
          </cell>
          <cell r="K14">
            <v>0.5</v>
          </cell>
        </row>
        <row r="20">
          <cell r="A20" t="str">
            <v xml:space="preserve"> </v>
          </cell>
        </row>
        <row r="21">
          <cell r="A21" t="str">
            <v>CONNECTED TO :</v>
          </cell>
          <cell r="B21" t="str">
            <v>SBE-H-G-3 (FCC)</v>
          </cell>
          <cell r="F21" t="str">
            <v>TOTAL CONNECTED LOAD PER PHASE</v>
          </cell>
          <cell r="K21">
            <v>4.5</v>
          </cell>
          <cell r="L21">
            <v>4</v>
          </cell>
          <cell r="M21">
            <v>4</v>
          </cell>
          <cell r="R21" t="str">
            <v>TOTAL</v>
          </cell>
        </row>
        <row r="24">
          <cell r="A24" t="str">
            <v xml:space="preserve">MAX. DEMAND (3 PH.):   </v>
          </cell>
          <cell r="B24">
            <v>12.5</v>
          </cell>
          <cell r="C24" t="str">
            <v>kW</v>
          </cell>
          <cell r="D24" t="str">
            <v xml:space="preserve">AT </v>
          </cell>
          <cell r="E24">
            <v>1</v>
          </cell>
          <cell r="F24" t="str">
            <v>DIVERSITY</v>
          </cell>
          <cell r="J24" t="str">
            <v xml:space="preserve">TOTAL CONNECTED LOAD(3 PH)   </v>
          </cell>
          <cell r="N24">
            <v>12.5</v>
          </cell>
          <cell r="O24" t="str">
            <v>kW</v>
          </cell>
        </row>
        <row r="27">
          <cell r="A27" t="str">
            <v>CONTRACTOR:</v>
          </cell>
          <cell r="K27" t="str">
            <v xml:space="preserve">TEL: </v>
          </cell>
          <cell r="O27" t="str">
            <v xml:space="preserve">FAX: </v>
          </cell>
        </row>
        <row r="29">
          <cell r="A29" t="str">
            <v>Type of Meter (Rating of Incomer):</v>
          </cell>
          <cell r="F29" t="str">
            <v>(1)  Upto 60A</v>
          </cell>
          <cell r="H29" t="str">
            <v>(2)  Upto 100 A</v>
          </cell>
          <cell r="K29" t="str">
            <v>(3)  125 - 160 A</v>
          </cell>
          <cell r="M29" t="str">
            <v>(4)  LV CT ..2500/5.......A</v>
          </cell>
          <cell r="Q29" t="str">
            <v>HV  CT .........../..........A</v>
          </cell>
        </row>
        <row r="30">
          <cell r="F30" t="str">
            <v xml:space="preserve">       (1 Phase)</v>
          </cell>
          <cell r="H30" t="str">
            <v xml:space="preserve">       (3 Phase)</v>
          </cell>
          <cell r="K30" t="str">
            <v xml:space="preserve">       </v>
          </cell>
        </row>
      </sheetData>
      <sheetData sheetId="84">
        <row r="1">
          <cell r="A1" t="str">
            <v>PROJECT: DUBAI MARINA MALL &amp; HOTEL/APARTMENTS</v>
          </cell>
          <cell r="I1" t="str">
            <v>DETAILS OF CONNECTED LOAD/ MAX. DEMAND</v>
          </cell>
        </row>
        <row r="2">
          <cell r="I2" t="str">
            <v>OWNER:</v>
          </cell>
          <cell r="J2" t="str">
            <v>EMAAR PROPERTIES PSJC</v>
          </cell>
          <cell r="O2" t="str">
            <v>AREA:</v>
          </cell>
          <cell r="Q2" t="str">
            <v>DUBAI,UNITED ARAB EMIRATES</v>
          </cell>
        </row>
        <row r="3">
          <cell r="E3" t="str">
            <v xml:space="preserve"> </v>
          </cell>
          <cell r="O3" t="str">
            <v xml:space="preserve"> LOCATION OF MCP: </v>
          </cell>
          <cell r="R3" t="str">
            <v>LOWER GROUND</v>
          </cell>
        </row>
        <row r="4">
          <cell r="A4" t="str">
            <v xml:space="preserve">MDB / SMDB </v>
          </cell>
          <cell r="B4" t="str">
            <v>LMCP-DX-FCU-H-LG-2</v>
          </cell>
          <cell r="I4" t="str">
            <v>CONSULTANT:MEINHARDT SINGAPORE PTE LTD.</v>
          </cell>
        </row>
        <row r="6">
          <cell r="A6" t="str">
            <v>CIRCUIT/</v>
          </cell>
          <cell r="B6" t="str">
            <v>SP/</v>
          </cell>
          <cell r="C6" t="str">
            <v>RATING - AMPS</v>
          </cell>
          <cell r="F6" t="str">
            <v>Isc FAULT</v>
          </cell>
          <cell r="G6" t="str">
            <v>FR or
XLPE</v>
          </cell>
          <cell r="H6" t="str">
            <v>CABLE SIZE</v>
          </cell>
          <cell r="J6" t="str">
            <v>CPC
SIZE-</v>
          </cell>
          <cell r="K6" t="str">
            <v>CONNECTED LOAD - KW</v>
          </cell>
          <cell r="N6" t="str">
            <v>PROPOSED TYPE &amp; NO. OF
KWH METERS</v>
          </cell>
        </row>
        <row r="7">
          <cell r="A7" t="str">
            <v>FEEDER
DB No.</v>
          </cell>
          <cell r="B7" t="str">
            <v>TP</v>
          </cell>
          <cell r="C7" t="str">
            <v>F/S
ISO</v>
          </cell>
          <cell r="D7" t="str">
            <v>MCCB</v>
          </cell>
          <cell r="E7" t="str">
            <v>MCB</v>
          </cell>
          <cell r="F7" t="str">
            <v>DUTY
KA</v>
          </cell>
          <cell r="G7" t="str">
            <v>SWA/
LS0H</v>
          </cell>
          <cell r="H7" t="str">
            <v>2/4 X1C
mm^2</v>
          </cell>
          <cell r="I7" t="str">
            <v>2/3/4C
mm^2</v>
          </cell>
          <cell r="J7" t="str">
            <v>1c
mm^2</v>
          </cell>
          <cell r="K7" t="str">
            <v>R-PH
KW</v>
          </cell>
          <cell r="L7" t="str">
            <v>Y-PH
KW</v>
          </cell>
          <cell r="M7" t="str">
            <v>B-PH
KW</v>
          </cell>
          <cell r="N7" t="str">
            <v>1 - PH
(1)</v>
          </cell>
          <cell r="O7" t="str">
            <v>3 - PH
(2)</v>
          </cell>
          <cell r="P7" t="str">
            <v>3 - PH
(3)</v>
          </cell>
          <cell r="Q7" t="str">
            <v>LV/H
CT (4)</v>
          </cell>
          <cell r="R7" t="str">
            <v>REMARKS</v>
          </cell>
        </row>
        <row r="8">
          <cell r="A8" t="str">
            <v>INCOMER (NON AUTO)</v>
          </cell>
          <cell r="B8" t="str">
            <v>TP</v>
          </cell>
          <cell r="D8">
            <v>40</v>
          </cell>
          <cell r="F8">
            <v>22</v>
          </cell>
          <cell r="G8" t="str">
            <v>XLPE/SWA/ LSOH</v>
          </cell>
          <cell r="I8" t="str">
            <v>4c 10</v>
          </cell>
          <cell r="J8" t="str">
            <v>1c 10</v>
          </cell>
          <cell r="K8">
            <v>1</v>
          </cell>
          <cell r="L8">
            <v>0.5</v>
          </cell>
          <cell r="M8">
            <v>0.5</v>
          </cell>
        </row>
        <row r="9">
          <cell r="A9" t="str">
            <v>OUTGOING</v>
          </cell>
        </row>
        <row r="10">
          <cell r="A10" t="str">
            <v>DX/FCU-H-LG-2 &amp; DX/FCU-H-LG-2 (STAND BY)</v>
          </cell>
          <cell r="B10" t="str">
            <v>TP</v>
          </cell>
          <cell r="D10">
            <v>32</v>
          </cell>
          <cell r="F10">
            <v>22</v>
          </cell>
          <cell r="G10" t="str">
            <v>XLPE/SWA/ LSOH</v>
          </cell>
          <cell r="I10" t="str">
            <v>3c 6</v>
          </cell>
          <cell r="J10" t="str">
            <v>1c 6</v>
          </cell>
          <cell r="K10">
            <v>0.5</v>
          </cell>
          <cell r="L10">
            <v>0.5</v>
          </cell>
          <cell r="M10">
            <v>0.5</v>
          </cell>
          <cell r="R10" t="str">
            <v>100mA ELCB + DOL STARTER</v>
          </cell>
        </row>
        <row r="12">
          <cell r="A12" t="str">
            <v>CONTROLS</v>
          </cell>
          <cell r="B12" t="str">
            <v>SP</v>
          </cell>
          <cell r="D12">
            <v>10</v>
          </cell>
          <cell r="F12">
            <v>22</v>
          </cell>
          <cell r="G12" t="str">
            <v>XLPE/SWA/ LSOH</v>
          </cell>
          <cell r="I12" t="str">
            <v>2c 1.5</v>
          </cell>
          <cell r="K12">
            <v>0.5</v>
          </cell>
        </row>
        <row r="18">
          <cell r="A18" t="str">
            <v xml:space="preserve"> </v>
          </cell>
        </row>
        <row r="19">
          <cell r="A19" t="str">
            <v>CONNECTED TO :</v>
          </cell>
          <cell r="B19" t="str">
            <v>SBE-H-G-3 (FCC)</v>
          </cell>
          <cell r="F19" t="str">
            <v>TOTAL CONNECTED LOAD PER PHASE</v>
          </cell>
          <cell r="K19">
            <v>1</v>
          </cell>
          <cell r="L19">
            <v>0.5</v>
          </cell>
          <cell r="M19">
            <v>0.5</v>
          </cell>
          <cell r="R19" t="str">
            <v>TOTAL</v>
          </cell>
        </row>
        <row r="22">
          <cell r="A22" t="str">
            <v xml:space="preserve">MAX. DEMAND (3 PH.):   </v>
          </cell>
          <cell r="B22">
            <v>2</v>
          </cell>
          <cell r="C22" t="str">
            <v>kW</v>
          </cell>
          <cell r="D22" t="str">
            <v xml:space="preserve">AT </v>
          </cell>
          <cell r="E22">
            <v>1</v>
          </cell>
          <cell r="F22" t="str">
            <v>DIVERSITY</v>
          </cell>
          <cell r="J22" t="str">
            <v xml:space="preserve">TOTAL CONNECTED LOAD(3 PH)   </v>
          </cell>
          <cell r="N22">
            <v>2</v>
          </cell>
          <cell r="O22" t="str">
            <v>kW</v>
          </cell>
        </row>
        <row r="25">
          <cell r="A25" t="str">
            <v>CONTRACTOR:</v>
          </cell>
          <cell r="K25" t="str">
            <v xml:space="preserve">TEL: </v>
          </cell>
          <cell r="O25" t="str">
            <v xml:space="preserve">FAX: </v>
          </cell>
        </row>
        <row r="27">
          <cell r="A27" t="str">
            <v>Type of Meter (Rating of Incomer):</v>
          </cell>
          <cell r="F27" t="str">
            <v>(1)  Upto 60A</v>
          </cell>
          <cell r="H27" t="str">
            <v>(2)  Upto 100 A</v>
          </cell>
          <cell r="K27" t="str">
            <v>(3)  125 - 160 A</v>
          </cell>
          <cell r="M27" t="str">
            <v>(4)  LV CT ..2500/5.......A</v>
          </cell>
          <cell r="Q27" t="str">
            <v>HV  CT .........../..........A</v>
          </cell>
        </row>
        <row r="28">
          <cell r="F28" t="str">
            <v xml:space="preserve">       (1 Phase)</v>
          </cell>
          <cell r="H28" t="str">
            <v xml:space="preserve">       (3 Phase)</v>
          </cell>
          <cell r="K28" t="str">
            <v xml:space="preserve">       </v>
          </cell>
        </row>
      </sheetData>
      <sheetData sheetId="85">
        <row r="1">
          <cell r="A1" t="str">
            <v>PROJECT: DUBAI MARINA MALL &amp; HOTEL/APARTMENTS</v>
          </cell>
          <cell r="I1" t="str">
            <v>DETAILS OF CONNECTED LOAD/ MAX. DEMAND</v>
          </cell>
        </row>
        <row r="2">
          <cell r="I2" t="str">
            <v>OWNER:</v>
          </cell>
          <cell r="J2" t="str">
            <v>EMAAR PROPERTIES PSJC</v>
          </cell>
          <cell r="O2" t="str">
            <v>AREA:</v>
          </cell>
          <cell r="Q2" t="str">
            <v>DUBAI,UNITED ARAB EMIRATES</v>
          </cell>
        </row>
        <row r="3">
          <cell r="E3" t="str">
            <v xml:space="preserve"> </v>
          </cell>
          <cell r="O3" t="str">
            <v xml:space="preserve"> LOCATION OF MCP: </v>
          </cell>
          <cell r="R3" t="str">
            <v>LOWER GROUND MEZZ.</v>
          </cell>
        </row>
        <row r="4">
          <cell r="A4" t="str">
            <v xml:space="preserve">MDB / SMDB </v>
          </cell>
          <cell r="B4" t="str">
            <v>LMCP-DX-FCU-H-LGM-1</v>
          </cell>
          <cell r="I4" t="str">
            <v>CONSULTANT:MEINHARDT SINGAPORE PTE LTD.</v>
          </cell>
        </row>
        <row r="6">
          <cell r="A6" t="str">
            <v>CIRCUIT/</v>
          </cell>
          <cell r="B6" t="str">
            <v>SP/</v>
          </cell>
          <cell r="C6" t="str">
            <v>RATING - AMPS</v>
          </cell>
          <cell r="F6" t="str">
            <v>Isc FAULT</v>
          </cell>
          <cell r="G6" t="str">
            <v>FR or
XLPE</v>
          </cell>
          <cell r="H6" t="str">
            <v>CABLE SIZE</v>
          </cell>
          <cell r="J6" t="str">
            <v>CPC
SIZE-</v>
          </cell>
          <cell r="K6" t="str">
            <v>CONNECTED LOAD - KW</v>
          </cell>
          <cell r="N6" t="str">
            <v>PROPOSED TYPE &amp; NO. OF
KWH METERS</v>
          </cell>
        </row>
        <row r="7">
          <cell r="A7" t="str">
            <v>FEEDER
DB No.</v>
          </cell>
          <cell r="B7" t="str">
            <v>TP</v>
          </cell>
          <cell r="C7" t="str">
            <v>F/S
ISO</v>
          </cell>
          <cell r="D7" t="str">
            <v>MCCB</v>
          </cell>
          <cell r="E7" t="str">
            <v>MCB</v>
          </cell>
          <cell r="F7" t="str">
            <v>DUTY
KA</v>
          </cell>
          <cell r="G7" t="str">
            <v>SWA/
LS0H</v>
          </cell>
          <cell r="H7" t="str">
            <v>2/4 X1C
mm^2</v>
          </cell>
          <cell r="I7" t="str">
            <v>2/3/4C
mm^2</v>
          </cell>
          <cell r="J7" t="str">
            <v>1c
mm^2</v>
          </cell>
          <cell r="K7" t="str">
            <v>R-PH
KW</v>
          </cell>
          <cell r="L7" t="str">
            <v>Y-PH
KW</v>
          </cell>
          <cell r="M7" t="str">
            <v>B-PH
KW</v>
          </cell>
          <cell r="N7" t="str">
            <v>1 - PH
(1)</v>
          </cell>
          <cell r="O7" t="str">
            <v>3 - PH
(2)</v>
          </cell>
          <cell r="P7" t="str">
            <v>3 - PH
(3)</v>
          </cell>
          <cell r="Q7" t="str">
            <v>LV/H
CT (4)</v>
          </cell>
          <cell r="R7" t="str">
            <v>REMARKS</v>
          </cell>
        </row>
        <row r="8">
          <cell r="A8" t="str">
            <v>INCOMER (NON AUTO)</v>
          </cell>
          <cell r="B8" t="str">
            <v>TP</v>
          </cell>
          <cell r="D8">
            <v>40</v>
          </cell>
          <cell r="F8">
            <v>22</v>
          </cell>
          <cell r="G8" t="str">
            <v>XLPE/SWA/ LSOH</v>
          </cell>
          <cell r="I8" t="str">
            <v>4c 10</v>
          </cell>
          <cell r="J8" t="str">
            <v>1c 10</v>
          </cell>
          <cell r="K8">
            <v>1.8333333333333333</v>
          </cell>
          <cell r="L8">
            <v>1.3333333333333333</v>
          </cell>
          <cell r="M8">
            <v>1.3333333333333333</v>
          </cell>
        </row>
        <row r="9">
          <cell r="A9" t="str">
            <v>OUTGOING</v>
          </cell>
        </row>
        <row r="10">
          <cell r="A10" t="str">
            <v>DX/FCU-H-LGM-1 &amp; DX/FCU-H-LGM-1 (STAND BY)</v>
          </cell>
          <cell r="B10" t="str">
            <v>TP</v>
          </cell>
          <cell r="D10">
            <v>32</v>
          </cell>
          <cell r="F10">
            <v>22</v>
          </cell>
          <cell r="G10" t="str">
            <v>XLPE/SWA/ LSOH</v>
          </cell>
          <cell r="I10" t="str">
            <v>3c 6</v>
          </cell>
          <cell r="J10" t="str">
            <v>1c 6</v>
          </cell>
          <cell r="K10">
            <v>1.3333333333333333</v>
          </cell>
          <cell r="L10">
            <v>1.3333333333333333</v>
          </cell>
          <cell r="M10">
            <v>1.3333333333333333</v>
          </cell>
          <cell r="R10" t="str">
            <v>100mA ELCB + DOL STARTER</v>
          </cell>
        </row>
        <row r="12">
          <cell r="A12" t="str">
            <v>CONTROLS</v>
          </cell>
          <cell r="B12" t="str">
            <v>SP</v>
          </cell>
          <cell r="D12">
            <v>10</v>
          </cell>
          <cell r="F12">
            <v>22</v>
          </cell>
          <cell r="G12" t="str">
            <v>XLPE/SWA/ LSOH</v>
          </cell>
          <cell r="I12" t="str">
            <v>2c 1.5</v>
          </cell>
          <cell r="K12">
            <v>0.5</v>
          </cell>
        </row>
        <row r="18">
          <cell r="A18" t="str">
            <v xml:space="preserve"> </v>
          </cell>
        </row>
        <row r="19">
          <cell r="A19" t="str">
            <v>CONNECTED TO :</v>
          </cell>
          <cell r="B19" t="str">
            <v>SBE-H-G-3 (FCC)</v>
          </cell>
          <cell r="F19" t="str">
            <v>TOTAL CONNECTED LOAD PER PHASE</v>
          </cell>
          <cell r="K19">
            <v>1.8333333333333333</v>
          </cell>
          <cell r="L19">
            <v>1.3333333333333333</v>
          </cell>
          <cell r="M19">
            <v>1.3333333333333333</v>
          </cell>
          <cell r="R19" t="str">
            <v>TOTAL</v>
          </cell>
        </row>
        <row r="22">
          <cell r="A22" t="str">
            <v xml:space="preserve">MAX. DEMAND (3 PH.):   </v>
          </cell>
          <cell r="B22">
            <v>4.5</v>
          </cell>
          <cell r="C22" t="str">
            <v>kW</v>
          </cell>
          <cell r="D22" t="str">
            <v xml:space="preserve">AT </v>
          </cell>
          <cell r="E22">
            <v>1</v>
          </cell>
          <cell r="F22" t="str">
            <v>DIVERSITY</v>
          </cell>
          <cell r="J22" t="str">
            <v xml:space="preserve">TOTAL CONNECTED LOAD(3 PH)   </v>
          </cell>
          <cell r="N22">
            <v>4.5</v>
          </cell>
          <cell r="O22" t="str">
            <v>kW</v>
          </cell>
        </row>
        <row r="25">
          <cell r="A25" t="str">
            <v>CONTRACTOR:</v>
          </cell>
          <cell r="K25" t="str">
            <v xml:space="preserve">TEL: </v>
          </cell>
          <cell r="O25" t="str">
            <v xml:space="preserve">FAX: </v>
          </cell>
        </row>
        <row r="27">
          <cell r="A27" t="str">
            <v>Type of Meter (Rating of Incomer):</v>
          </cell>
          <cell r="F27" t="str">
            <v>(1)  Upto 60A</v>
          </cell>
          <cell r="H27" t="str">
            <v>(2)  Upto 100 A</v>
          </cell>
          <cell r="K27" t="str">
            <v>(3)  125 - 160 A</v>
          </cell>
          <cell r="M27" t="str">
            <v>(4)  LV CT ..2500/5.......A</v>
          </cell>
          <cell r="Q27" t="str">
            <v>HV  CT .........../..........A</v>
          </cell>
        </row>
        <row r="28">
          <cell r="F28" t="str">
            <v xml:space="preserve">       (1 Phase)</v>
          </cell>
          <cell r="H28" t="str">
            <v xml:space="preserve">       (3 Phase)</v>
          </cell>
          <cell r="K28" t="str">
            <v xml:space="preserve">       </v>
          </cell>
        </row>
      </sheetData>
      <sheetData sheetId="86">
        <row r="1">
          <cell r="A1" t="str">
            <v>PROJECT: DUBAI MARINA MALL &amp; HOTEL/APARTMENTS</v>
          </cell>
          <cell r="I1" t="str">
            <v>DETAILS OF CONNECTED LOAD/ MAX. DEMAND</v>
          </cell>
        </row>
        <row r="2">
          <cell r="I2" t="str">
            <v>OWNER:</v>
          </cell>
          <cell r="J2" t="str">
            <v>EMAAR PROPERTIES PSJC</v>
          </cell>
          <cell r="O2" t="str">
            <v>AREA:</v>
          </cell>
          <cell r="Q2" t="str">
            <v>DUBAI,UNITED ARAB EMIRATES</v>
          </cell>
        </row>
        <row r="3">
          <cell r="E3" t="str">
            <v xml:space="preserve"> </v>
          </cell>
          <cell r="O3" t="str">
            <v xml:space="preserve"> LOCATION OF MCP: </v>
          </cell>
          <cell r="R3" t="str">
            <v>LOWER GROUND MEZZ</v>
          </cell>
        </row>
        <row r="4">
          <cell r="A4" t="str">
            <v xml:space="preserve">MDB / SMDB </v>
          </cell>
          <cell r="B4" t="str">
            <v>LMCP-DX-FCU-H-LGM-2</v>
          </cell>
          <cell r="I4" t="str">
            <v>CONSULTANT:MEINHARDT SINGAPORE PTE LTD.</v>
          </cell>
        </row>
        <row r="6">
          <cell r="A6" t="str">
            <v>CIRCUIT/</v>
          </cell>
          <cell r="B6" t="str">
            <v>SP/</v>
          </cell>
          <cell r="C6" t="str">
            <v>RATING - AMPS</v>
          </cell>
          <cell r="F6" t="str">
            <v>Isc FAULT</v>
          </cell>
          <cell r="G6" t="str">
            <v>FR or
XLPE</v>
          </cell>
          <cell r="H6" t="str">
            <v>CABLE SIZE</v>
          </cell>
          <cell r="J6" t="str">
            <v>CPC
SIZE-</v>
          </cell>
          <cell r="K6" t="str">
            <v>CONNECTED LOAD - KW</v>
          </cell>
          <cell r="N6" t="str">
            <v>PROPOSED TYPE &amp; NO. OF
KWH METERS</v>
          </cell>
        </row>
        <row r="7">
          <cell r="A7" t="str">
            <v>FEEDER
DB No.</v>
          </cell>
          <cell r="B7" t="str">
            <v>TP</v>
          </cell>
          <cell r="C7" t="str">
            <v>F/S
ISO</v>
          </cell>
          <cell r="D7" t="str">
            <v>MCCB</v>
          </cell>
          <cell r="E7" t="str">
            <v>MCB</v>
          </cell>
          <cell r="F7" t="str">
            <v>DUTY
KA</v>
          </cell>
          <cell r="G7" t="str">
            <v>SWA/
LS0H</v>
          </cell>
          <cell r="H7" t="str">
            <v>2/4 X1C
mm^2</v>
          </cell>
          <cell r="I7" t="str">
            <v>2/3/4C
mm^2</v>
          </cell>
          <cell r="J7" t="str">
            <v>1c
mm^2</v>
          </cell>
          <cell r="K7" t="str">
            <v>R-PH
KW</v>
          </cell>
          <cell r="L7" t="str">
            <v>Y-PH
KW</v>
          </cell>
          <cell r="M7" t="str">
            <v>B-PH
KW</v>
          </cell>
          <cell r="N7" t="str">
            <v>1 - PH
(1)</v>
          </cell>
          <cell r="O7" t="str">
            <v>3 - PH
(2)</v>
          </cell>
          <cell r="P7" t="str">
            <v>3 - PH
(3)</v>
          </cell>
          <cell r="Q7" t="str">
            <v>LV/H
CT (4)</v>
          </cell>
          <cell r="R7" t="str">
            <v>REMARKS</v>
          </cell>
        </row>
        <row r="8">
          <cell r="A8" t="str">
            <v>INCOMER (NON AUTO)</v>
          </cell>
          <cell r="B8" t="str">
            <v>TP</v>
          </cell>
          <cell r="D8">
            <v>40</v>
          </cell>
          <cell r="F8">
            <v>22</v>
          </cell>
          <cell r="G8" t="str">
            <v>XLPE/SWA/ LSOH</v>
          </cell>
          <cell r="I8" t="str">
            <v>4c 10</v>
          </cell>
          <cell r="J8" t="str">
            <v>1c 10</v>
          </cell>
          <cell r="K8">
            <v>1.8333333333333333</v>
          </cell>
          <cell r="L8">
            <v>1.3333333333333333</v>
          </cell>
          <cell r="M8">
            <v>1.3333333333333333</v>
          </cell>
        </row>
        <row r="9">
          <cell r="A9" t="str">
            <v>OUTGOING</v>
          </cell>
        </row>
        <row r="10">
          <cell r="A10" t="str">
            <v>DX/FCU-H-LGM-2 &amp; DX/FCU-H-LGM-2 (STAND BY)</v>
          </cell>
          <cell r="B10" t="str">
            <v>TP</v>
          </cell>
          <cell r="D10">
            <v>32</v>
          </cell>
          <cell r="F10">
            <v>22</v>
          </cell>
          <cell r="G10" t="str">
            <v>XLPE/SWA/ LSOH</v>
          </cell>
          <cell r="I10" t="str">
            <v>3c 6</v>
          </cell>
          <cell r="J10" t="str">
            <v>1c 6</v>
          </cell>
          <cell r="K10">
            <v>1.3333333333333333</v>
          </cell>
          <cell r="L10">
            <v>1.3333333333333333</v>
          </cell>
          <cell r="M10">
            <v>1.3333333333333333</v>
          </cell>
          <cell r="R10" t="str">
            <v>100mA ELCB + DOL STARTER</v>
          </cell>
        </row>
        <row r="12">
          <cell r="A12" t="str">
            <v>CONTROLS</v>
          </cell>
          <cell r="B12" t="str">
            <v>SP</v>
          </cell>
          <cell r="D12">
            <v>10</v>
          </cell>
          <cell r="F12">
            <v>22</v>
          </cell>
          <cell r="G12" t="str">
            <v>XLPE/SWA/ LSOH</v>
          </cell>
          <cell r="I12" t="str">
            <v>2c 1.5</v>
          </cell>
          <cell r="K12">
            <v>0.5</v>
          </cell>
        </row>
        <row r="18">
          <cell r="A18" t="str">
            <v xml:space="preserve"> </v>
          </cell>
        </row>
        <row r="19">
          <cell r="A19" t="str">
            <v>CONNECTED TO :</v>
          </cell>
          <cell r="B19" t="str">
            <v>SBE-H-G-3 (FCC)</v>
          </cell>
          <cell r="F19" t="str">
            <v>TOTAL CONNECTED LOAD PER PHASE</v>
          </cell>
          <cell r="K19">
            <v>1.8333333333333333</v>
          </cell>
          <cell r="L19">
            <v>1.3333333333333333</v>
          </cell>
          <cell r="M19">
            <v>1.3333333333333333</v>
          </cell>
          <cell r="R19" t="str">
            <v>TOTAL</v>
          </cell>
        </row>
        <row r="22">
          <cell r="A22" t="str">
            <v xml:space="preserve">MAX. DEMAND (3 PH.):   </v>
          </cell>
          <cell r="B22">
            <v>4.5</v>
          </cell>
          <cell r="C22" t="str">
            <v>kW</v>
          </cell>
          <cell r="D22" t="str">
            <v xml:space="preserve">AT </v>
          </cell>
          <cell r="E22">
            <v>1</v>
          </cell>
          <cell r="F22" t="str">
            <v>DIVERSITY</v>
          </cell>
          <cell r="J22" t="str">
            <v xml:space="preserve">TOTAL CONNECTED LOAD(3 PH)   </v>
          </cell>
          <cell r="N22">
            <v>4.5</v>
          </cell>
          <cell r="O22" t="str">
            <v>kW</v>
          </cell>
        </row>
        <row r="25">
          <cell r="A25" t="str">
            <v>CONTRACTOR:</v>
          </cell>
          <cell r="K25" t="str">
            <v xml:space="preserve">TEL: </v>
          </cell>
          <cell r="O25" t="str">
            <v xml:space="preserve">FAX: </v>
          </cell>
        </row>
        <row r="27">
          <cell r="A27" t="str">
            <v>Type of Meter (Rating of Incomer):</v>
          </cell>
          <cell r="F27" t="str">
            <v>(1)  Upto 60A</v>
          </cell>
          <cell r="H27" t="str">
            <v>(2)  Upto 100 A</v>
          </cell>
          <cell r="K27" t="str">
            <v>(3)  125 - 160 A</v>
          </cell>
          <cell r="M27" t="str">
            <v>(4)  LV CT ..2500/5.......A</v>
          </cell>
          <cell r="Q27" t="str">
            <v>HV  CT .........../..........A</v>
          </cell>
        </row>
        <row r="28">
          <cell r="F28" t="str">
            <v xml:space="preserve">       (1 Phase)</v>
          </cell>
          <cell r="H28" t="str">
            <v xml:space="preserve">       (3 Phase)</v>
          </cell>
          <cell r="K28" t="str">
            <v xml:space="preserve">       </v>
          </cell>
        </row>
      </sheetData>
      <sheetData sheetId="87"/>
      <sheetData sheetId="88"/>
      <sheetData sheetId="89"/>
      <sheetData sheetId="90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SB_M_COVER"/>
      <sheetName val="LVSB_M_9"/>
      <sheetName val="MSB_M_9"/>
      <sheetName val="SBE_MC_B2_1"/>
      <sheetName val="LMCP_CEF_B2_1"/>
      <sheetName val="LMCP_CSF_B2_1"/>
      <sheetName val="SBE_MC_B1_1"/>
      <sheetName val="LMCP_CEF_B1_1"/>
      <sheetName val="LMCP_CSF_B1_1"/>
      <sheetName val="LMCP_EF_R_B1_1"/>
      <sheetName val="SBE_MC_LG_1"/>
      <sheetName val="LMCP_CSF_LG_1"/>
      <sheetName val="LMCP_CEF_LG_1"/>
      <sheetName val="LMCP-JF-LG-2"/>
      <sheetName val="SBE_MC_LGM_1"/>
      <sheetName val="LMCP_CEF_LGM_1 "/>
      <sheetName val="LMCP_CSF_LGM_1"/>
      <sheetName val="LMCP-JF-LGM-2"/>
      <sheetName val="LMCP_SVF_R_LGM_1"/>
      <sheetName val="LVSB_M_10"/>
      <sheetName val="MSB_M_10"/>
      <sheetName val="SBE_MC_B1_2"/>
      <sheetName val="LMCP_JF_B1_2"/>
      <sheetName val="LMCP_JF_B1_4"/>
      <sheetName val="LMCP_JF_B1_5"/>
      <sheetName val="LMCP_JF_B1_6"/>
      <sheetName val="LMCP_JF_B2_2"/>
      <sheetName val="LMCP_JF_B2_5"/>
      <sheetName val="LMCP_JF_B2_6"/>
      <sheetName val="SB_MC_LG_2"/>
      <sheetName val="LMCP-LPGV-H-GF-1"/>
      <sheetName val="LMCP-LPGV-H-GF-2"/>
      <sheetName val="LSB_MG_R_1"/>
      <sheetName val="LSB_MC_R_1"/>
      <sheetName val="LDB-M-R-1"/>
      <sheetName val="LSB_MC_R_2"/>
      <sheetName val="LDB-M-R-2"/>
      <sheetName val="LSB_MC_R_3"/>
      <sheetName val="LDB-M-R-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">
          <cell r="A1" t="str">
            <v>PROJECT: DUBAI MARINA MALL &amp; HOTEL/APARTMENTS</v>
          </cell>
          <cell r="I1" t="str">
            <v>DETAILS OF CONNECTED LOAD/ MAX. DEMAND</v>
          </cell>
        </row>
        <row r="2">
          <cell r="I2" t="str">
            <v>OWNER:</v>
          </cell>
          <cell r="J2" t="str">
            <v>EMAAR PROPERTIES PSJC</v>
          </cell>
          <cell r="O2" t="str">
            <v>AREA:</v>
          </cell>
          <cell r="Q2" t="str">
            <v>DUBAI,UNITED ARAB EMIRATES</v>
          </cell>
        </row>
        <row r="3">
          <cell r="E3" t="str">
            <v xml:space="preserve"> </v>
          </cell>
          <cell r="O3" t="str">
            <v xml:space="preserve"> LOCATION OF MCP: </v>
          </cell>
          <cell r="R3" t="str">
            <v>BASEMENT 1</v>
          </cell>
        </row>
        <row r="4">
          <cell r="A4" t="str">
            <v xml:space="preserve">MDB / SMDB </v>
          </cell>
          <cell r="B4" t="str">
            <v>LMCP-JF-B1-2 (TYP TO LMCP-JF-B1-3)</v>
          </cell>
          <cell r="I4" t="str">
            <v>CONSULTANT:MEINHARDT SINGAPORE PTE LTD.</v>
          </cell>
        </row>
        <row r="6">
          <cell r="A6" t="str">
            <v>CIRCUIT/</v>
          </cell>
          <cell r="B6" t="str">
            <v>SP/</v>
          </cell>
          <cell r="C6" t="str">
            <v>RATING - AMPS</v>
          </cell>
          <cell r="F6" t="str">
            <v>Isc FAULT</v>
          </cell>
          <cell r="G6" t="str">
            <v>FR or
XLPE</v>
          </cell>
          <cell r="H6" t="str">
            <v>CABLE SIZE</v>
          </cell>
          <cell r="J6" t="str">
            <v>CPC
SIZE-</v>
          </cell>
          <cell r="K6" t="str">
            <v>CONNECTED LOAD - KW</v>
          </cell>
          <cell r="N6" t="str">
            <v>PROPOSED TYPE &amp; NO. OF
KWH METERS</v>
          </cell>
        </row>
        <row r="7">
          <cell r="A7" t="str">
            <v>FEEDER
DB No.</v>
          </cell>
          <cell r="B7" t="str">
            <v>TP</v>
          </cell>
          <cell r="C7" t="str">
            <v>ACB</v>
          </cell>
          <cell r="D7" t="str">
            <v>MCCB</v>
          </cell>
          <cell r="E7" t="str">
            <v>MCB</v>
          </cell>
          <cell r="F7" t="str">
            <v>DUTY
KA</v>
          </cell>
          <cell r="G7" t="str">
            <v>SWA/
LS0H</v>
          </cell>
          <cell r="H7" t="str">
            <v>2/4 X1C
mm^2</v>
          </cell>
          <cell r="I7" t="str">
            <v>2/3/4C
mm^2</v>
          </cell>
          <cell r="J7" t="str">
            <v>1c
mm^2</v>
          </cell>
          <cell r="K7" t="str">
            <v>R-PH
KW</v>
          </cell>
          <cell r="L7" t="str">
            <v>Y-PH
KW</v>
          </cell>
          <cell r="M7" t="str">
            <v>B-PH
KW</v>
          </cell>
          <cell r="N7" t="str">
            <v>1 - PH
(1)</v>
          </cell>
          <cell r="O7" t="str">
            <v>3 - PH
(2)</v>
          </cell>
          <cell r="P7" t="str">
            <v>3 - PH
(3)</v>
          </cell>
          <cell r="Q7" t="str">
            <v>LV/H
CT (4)</v>
          </cell>
          <cell r="R7" t="str">
            <v>REMARKS</v>
          </cell>
        </row>
        <row r="8">
          <cell r="A8" t="str">
            <v>INCOMER (NON AUTO)</v>
          </cell>
          <cell r="B8" t="str">
            <v>TP</v>
          </cell>
          <cell r="D8">
            <v>32</v>
          </cell>
          <cell r="F8">
            <v>36</v>
          </cell>
          <cell r="G8" t="str">
            <v>FR/SWA/ LSOH</v>
          </cell>
          <cell r="I8" t="str">
            <v>4c 6</v>
          </cell>
          <cell r="J8" t="str">
            <v>1c 6</v>
          </cell>
          <cell r="K8">
            <v>1.8</v>
          </cell>
          <cell r="L8">
            <v>1.3</v>
          </cell>
          <cell r="M8">
            <v>1.3</v>
          </cell>
        </row>
        <row r="9">
          <cell r="A9" t="str">
            <v>OUTGOING</v>
          </cell>
        </row>
        <row r="10">
          <cell r="A10" t="str">
            <v>JF-B1-2-1</v>
          </cell>
          <cell r="B10" t="str">
            <v>SP</v>
          </cell>
          <cell r="D10">
            <v>20</v>
          </cell>
          <cell r="F10">
            <v>36</v>
          </cell>
          <cell r="G10" t="str">
            <v>FR/SWA/ LSOH</v>
          </cell>
          <cell r="I10" t="str">
            <v>2c 4</v>
          </cell>
          <cell r="J10" t="str">
            <v>1c 4</v>
          </cell>
          <cell r="K10">
            <v>1.3</v>
          </cell>
          <cell r="R10" t="str">
            <v>100mA ELCB + DOL STARTER</v>
          </cell>
        </row>
        <row r="11">
          <cell r="A11" t="str">
            <v>JF-B1-2-2</v>
          </cell>
          <cell r="B11" t="str">
            <v>SP</v>
          </cell>
          <cell r="D11">
            <v>20</v>
          </cell>
          <cell r="F11">
            <v>36</v>
          </cell>
          <cell r="G11" t="str">
            <v>FR/SWA/ LSOH</v>
          </cell>
          <cell r="I11" t="str">
            <v>2c 4</v>
          </cell>
          <cell r="J11" t="str">
            <v>1c 4</v>
          </cell>
          <cell r="L11">
            <v>1.3</v>
          </cell>
          <cell r="R11" t="str">
            <v>100mA ELCB + DOL STARTER</v>
          </cell>
        </row>
        <row r="12">
          <cell r="A12" t="str">
            <v>JF-B1-2-3</v>
          </cell>
          <cell r="B12" t="str">
            <v>SP</v>
          </cell>
          <cell r="D12">
            <v>20</v>
          </cell>
          <cell r="F12">
            <v>36</v>
          </cell>
          <cell r="G12" t="str">
            <v>FR/SWA/ LSOH</v>
          </cell>
          <cell r="I12" t="str">
            <v>2c 4</v>
          </cell>
          <cell r="J12" t="str">
            <v>1c 4</v>
          </cell>
          <cell r="M12">
            <v>1.3</v>
          </cell>
          <cell r="R12" t="str">
            <v>100mA ELCB + DOL STARTER</v>
          </cell>
        </row>
        <row r="13">
          <cell r="A13" t="str">
            <v>CONTROLS</v>
          </cell>
          <cell r="B13" t="str">
            <v>SP</v>
          </cell>
          <cell r="D13">
            <v>10</v>
          </cell>
          <cell r="F13">
            <v>36</v>
          </cell>
          <cell r="G13" t="str">
            <v>FR/SWA/ LSOH</v>
          </cell>
          <cell r="I13" t="str">
            <v>2c 1.5</v>
          </cell>
          <cell r="K13">
            <v>0.5</v>
          </cell>
        </row>
        <row r="24">
          <cell r="A24" t="str">
            <v xml:space="preserve"> </v>
          </cell>
        </row>
        <row r="25">
          <cell r="A25" t="str">
            <v>CONNECTED TO :</v>
          </cell>
          <cell r="B25" t="str">
            <v>SBE-MC-B1-2</v>
          </cell>
          <cell r="F25" t="str">
            <v>TOTAL CONNECTED LOAD PER PHASE</v>
          </cell>
          <cell r="K25">
            <v>1.8</v>
          </cell>
          <cell r="L25">
            <v>1.3</v>
          </cell>
          <cell r="M25">
            <v>1.3</v>
          </cell>
          <cell r="R25" t="str">
            <v>TOTAL</v>
          </cell>
        </row>
        <row r="28">
          <cell r="A28" t="str">
            <v xml:space="preserve">MAX. DEMAND (3 PH.):   </v>
          </cell>
          <cell r="B28">
            <v>4.4000000000000004</v>
          </cell>
          <cell r="C28" t="str">
            <v>kW</v>
          </cell>
          <cell r="D28" t="str">
            <v xml:space="preserve">AT </v>
          </cell>
          <cell r="E28">
            <v>1</v>
          </cell>
          <cell r="F28" t="str">
            <v>DIVERSITY</v>
          </cell>
          <cell r="J28" t="str">
            <v xml:space="preserve">TOTAL CONNECTED LOAD(3 PH)   </v>
          </cell>
          <cell r="N28">
            <v>4.4000000000000004</v>
          </cell>
          <cell r="O28" t="str">
            <v>kW</v>
          </cell>
        </row>
        <row r="31">
          <cell r="A31" t="str">
            <v>CONTRACTOR:</v>
          </cell>
          <cell r="K31" t="str">
            <v xml:space="preserve">TEL: </v>
          </cell>
          <cell r="O31" t="str">
            <v xml:space="preserve">FAX: </v>
          </cell>
        </row>
        <row r="33">
          <cell r="A33" t="str">
            <v>Type of Meter (Rating of Incomer):</v>
          </cell>
          <cell r="F33" t="str">
            <v>(1)  Upto 60A</v>
          </cell>
          <cell r="H33" t="str">
            <v>(2)  Upto 100 A</v>
          </cell>
          <cell r="K33" t="str">
            <v>(3)  125 - 160 A</v>
          </cell>
          <cell r="M33" t="str">
            <v>(4)  LV CT ..2500/5.......A</v>
          </cell>
          <cell r="Q33" t="str">
            <v>HV  CT .........../..........A</v>
          </cell>
        </row>
        <row r="34">
          <cell r="F34" t="str">
            <v xml:space="preserve">       (1 Phase)</v>
          </cell>
          <cell r="H34" t="str">
            <v xml:space="preserve">       (3 Phase)</v>
          </cell>
          <cell r="K34" t="str">
            <v xml:space="preserve">       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SB_M_COVER"/>
      <sheetName val="LVSB_M_7"/>
      <sheetName val="MSB_M_7"/>
      <sheetName val="SBE_MC_2_2"/>
      <sheetName val="LMCP_JF_2_2"/>
      <sheetName val="LMCP_JF_2M_2"/>
      <sheetName val="LMCP_JF_3_2"/>
      <sheetName val="LMCP_JF_3_3"/>
      <sheetName val="LMCP_JF_4_1"/>
      <sheetName val="LMCP_JF_4_2"/>
      <sheetName val="LMCP_JF_5_1"/>
      <sheetName val="LMCP_JF_5_2"/>
      <sheetName val="LMCP_JF_5M_1"/>
      <sheetName val="LMCP_JF_5M_2"/>
      <sheetName val="LMCP_SEF_R_1_1"/>
      <sheetName val="LMCP_CEF_R_2_1 "/>
      <sheetName val="SB_MC_5M_1"/>
      <sheetName val="DB_MC_5M_1A _1_ "/>
      <sheetName val="DB_MC_5M_1A _2_  "/>
      <sheetName val="DB_MC_5M_1B _1_"/>
      <sheetName val="DB_MC_5M_1B _2_"/>
      <sheetName val="DB_MC_5M_1C"/>
      <sheetName val="DB_MC_5M_2A_1_"/>
      <sheetName val="DB_MC_5M_2A_2_"/>
      <sheetName val="DB_MC_5M_2B_1_"/>
      <sheetName val="DB_MC_5M_2B_2_ "/>
      <sheetName val="DB_MC_5M_2C_"/>
      <sheetName val="SB_MC_5_1"/>
      <sheetName val="DB_MC_5_1A_1_"/>
      <sheetName val="DB_MC_5_1A_2_"/>
      <sheetName val="DB_MC_5_1B_1_"/>
      <sheetName val="DB_MC_5_1B_2_"/>
      <sheetName val="DB_MC_5_2A_1_"/>
      <sheetName val="DB_MC_5_2A_2_ "/>
      <sheetName val="DB-MC-5-2B(1)"/>
      <sheetName val="DB-MC-5-2B(2)"/>
      <sheetName val="SB_MC_4_1"/>
      <sheetName val="DB_MC_4_1A_1_ "/>
      <sheetName val="DB_MC_4_1A_2_ "/>
      <sheetName val="DB_MC_4_1B_1_"/>
      <sheetName val="DB_MC_4_1B_2_"/>
      <sheetName val="DB_MC_4_2A_1_ "/>
      <sheetName val="DB_MC_4_2A_2_ "/>
      <sheetName val="DB_MC_4_2B_1_"/>
      <sheetName val="DB_MC_4_2B_2_"/>
      <sheetName val="SB_MC_3M_1"/>
      <sheetName val="DB_MC_3M_1A_1_ "/>
      <sheetName val="DB_MC_3M_1A_2_ "/>
      <sheetName val="DB_MC_3M_1B_1_"/>
      <sheetName val="DB_MC_3M_1B_2_"/>
      <sheetName val="DB_MC_3M_2A_1_"/>
      <sheetName val="DB_MC_3M_2A_2_"/>
      <sheetName val="DB_MC_3M_2B_1_"/>
      <sheetName val="DB_MC_3M_2B_2_"/>
      <sheetName val="SB_MC_3_1"/>
      <sheetName val="DB_MC_3_1A_1_ "/>
      <sheetName val="DB_MC_3_1A_2_ "/>
      <sheetName val="DB_MC_3_1B_1_"/>
      <sheetName val="DB_MC_3_1B_2_"/>
      <sheetName val="DB_MC_3_2A_1_"/>
      <sheetName val="DB_MC_3_2A_2_"/>
      <sheetName val="DB_MC_3_2B_1_ "/>
      <sheetName val="DB_MC_3_2B_2_ "/>
      <sheetName val="SB_MC_2_1"/>
      <sheetName val="DB_MC_G_1A _1_"/>
      <sheetName val="DB_MC_G_1A _2_"/>
      <sheetName val="DB_MC_1_1A_1_"/>
      <sheetName val="DB_MC_1_1A_2_"/>
      <sheetName val="DB_M_1_3_1_"/>
      <sheetName val="DB_M_1_3_2_"/>
      <sheetName val="DB_M_1_3_3_"/>
      <sheetName val="DB_MC_2_1A_1_ "/>
      <sheetName val="DB_MC_2_1A_2_   "/>
      <sheetName val="DB_MC_2_1B _1_"/>
      <sheetName val="DB_MC_2_1B _2_"/>
      <sheetName val="DB_MC_2_1B _3_"/>
      <sheetName val="LMCP_H-TX_LG"/>
      <sheetName val="LVSB_M_8"/>
      <sheetName val="MSB_M_8"/>
      <sheetName val="SBE_M_LG_2"/>
      <sheetName val="LMCP_AHU_R_LG_1"/>
      <sheetName val="LMCP_AHU_R_LG_2"/>
      <sheetName val="LMCP_AHU_R_1_1"/>
      <sheetName val="LMCP_AHU_R_1_2"/>
      <sheetName val="LMCP_PAU_R_3_1"/>
      <sheetName val="SBE_M_LGM_3"/>
      <sheetName val="LMCP_SEF_R_LGM_1"/>
      <sheetName val="SBE_MC_LGM_2"/>
      <sheetName val="LMCP_EF_R_LG_1"/>
      <sheetName val="LMCP_EF_R_LG_4"/>
      <sheetName val="LMCP_EF_R_LG_5"/>
      <sheetName val="SB_MC_B2_1"/>
      <sheetName val="DB_MC_B2_1A_1_"/>
      <sheetName val="DB_MC_B2_1A_2_"/>
      <sheetName val="DB_MC_B2_1B_1_"/>
      <sheetName val="DB_MC_B2_1B_2_"/>
      <sheetName val="DB_MC_B2_2A_1_"/>
      <sheetName val="DB_MC_B2_2A_2_"/>
      <sheetName val="DB_MC_B2_2B_1_"/>
      <sheetName val="DB_MC_B2_2B_2_"/>
      <sheetName val="LMCP_EF_R_B2_3"/>
      <sheetName val="SB_MC_B1_3 "/>
      <sheetName val="DB_MC_B2_3A_1_"/>
      <sheetName val="DB_MC_B2_3A_2_"/>
      <sheetName val="DB_MC_B2_3A_3_"/>
      <sheetName val="DB_MC_B2_3B_1_"/>
      <sheetName val="DB_MC_B2_3B_2_"/>
      <sheetName val="DB_MC_B2_3B_3_"/>
      <sheetName val="DB_MC_B1_3A_1_  "/>
      <sheetName val="DB_MC_B1_3A_2_"/>
      <sheetName val="DB_MC_B1_3B_1_"/>
      <sheetName val="DB_MC_B1_3B_2_"/>
      <sheetName val="DB_MC_B1_7"/>
      <sheetName val="DB_MC_B1_8"/>
      <sheetName val="SB_MC_B1_4"/>
      <sheetName val="DB_MC_B1_1A_1_"/>
      <sheetName val="DB_MC_B1_1A_2_"/>
      <sheetName val="DB_MC_B1_1B_1_"/>
      <sheetName val="DB_MC_B1_1B_2_"/>
      <sheetName val="DB_MC_B1_2A_1_"/>
      <sheetName val="DB_MC_B1_2A _2_"/>
      <sheetName val="DB_MC_B1_2A _3_"/>
      <sheetName val="DB_MC_B1_2B_1_"/>
      <sheetName val="DB_MC_B1_2B_2_"/>
      <sheetName val="DB_MC_LGM-1 (ADD'L)"/>
      <sheetName val="SB-WF-M-LG-M-1"/>
      <sheetName val="SB_M_G_1C"/>
      <sheetName val="LSB_MC_R_4"/>
      <sheetName val="LDB_M_R_4"/>
      <sheetName val="LDB-M-R-4"/>
      <sheetName val="LMCP_CEF_G_5"/>
      <sheetName val="LMCP_CEF_2_7 "/>
      <sheetName val="DB_MC_B2_1A_3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1">
          <cell r="A1" t="str">
            <v>PROJECT: DUBAI MARINA MALL &amp; HOTEL/APARTMENT</v>
          </cell>
          <cell r="I1" t="str">
            <v>OWNER:</v>
          </cell>
          <cell r="J1" t="str">
            <v>EMAAR PROPERTIES PSJC</v>
          </cell>
          <cell r="O1" t="str">
            <v>AREA:</v>
          </cell>
          <cell r="Q1" t="str">
            <v>DUBAI,UNITED ARAB EMIRATES</v>
          </cell>
        </row>
        <row r="2">
          <cell r="A2" t="str">
            <v>PLANNED COMPLETION DATE:</v>
          </cell>
          <cell r="I2" t="str">
            <v>CONSULTANT: MEINHARDT SINGAPORE PTE LTD.</v>
          </cell>
          <cell r="O2" t="str">
            <v>PLOT NO.:</v>
          </cell>
          <cell r="Q2" t="str">
            <v>392-479</v>
          </cell>
        </row>
        <row r="3">
          <cell r="E3" t="str">
            <v xml:space="preserve"> </v>
          </cell>
        </row>
        <row r="4">
          <cell r="A4" t="str">
            <v xml:space="preserve">MDB / SMDB </v>
          </cell>
          <cell r="B4" t="str">
            <v>SBE-M-LG-2</v>
          </cell>
          <cell r="I4" t="str">
            <v>LOCATION OF LMCP:  PROMENADE</v>
          </cell>
          <cell r="O4" t="str">
            <v>LOCATION:</v>
          </cell>
          <cell r="Q4" t="str">
            <v>MARSA, DUBAI</v>
          </cell>
        </row>
        <row r="6">
          <cell r="A6" t="str">
            <v>CIRCUIT/</v>
          </cell>
          <cell r="B6" t="str">
            <v>SP/</v>
          </cell>
          <cell r="C6" t="str">
            <v>RATING - AMPS</v>
          </cell>
          <cell r="F6" t="str">
            <v>Isc FAULT</v>
          </cell>
          <cell r="G6" t="str">
            <v>FR or
XLPE</v>
          </cell>
          <cell r="H6" t="str">
            <v>CABLE SIZE</v>
          </cell>
          <cell r="J6" t="str">
            <v>CPC
SIZE-</v>
          </cell>
          <cell r="K6" t="str">
            <v>CONNECTED LOAD - KW</v>
          </cell>
          <cell r="N6" t="str">
            <v>PROPOSED TYPE &amp; NO. OF
KWH METERS</v>
          </cell>
        </row>
        <row r="7">
          <cell r="A7" t="str">
            <v>FEEDER
DB No.</v>
          </cell>
          <cell r="B7" t="str">
            <v>TP</v>
          </cell>
          <cell r="C7" t="str">
            <v>ACB</v>
          </cell>
          <cell r="D7" t="str">
            <v>MCCB</v>
          </cell>
          <cell r="E7" t="str">
            <v>MCB</v>
          </cell>
          <cell r="F7" t="str">
            <v>DUTY
KA</v>
          </cell>
          <cell r="G7" t="str">
            <v>SWA/
LS0H</v>
          </cell>
          <cell r="H7" t="str">
            <v>2/4 X1C
mm^2</v>
          </cell>
          <cell r="I7" t="str">
            <v>2/3/4C
mm^2</v>
          </cell>
          <cell r="J7" t="str">
            <v>1c
mm^2</v>
          </cell>
          <cell r="K7" t="str">
            <v>R-PH
KW</v>
          </cell>
          <cell r="L7" t="str">
            <v>Y-PH
KW</v>
          </cell>
          <cell r="M7" t="str">
            <v>B-PH
KW</v>
          </cell>
          <cell r="N7" t="str">
            <v>1 - PH
(1)</v>
          </cell>
          <cell r="O7" t="str">
            <v>3 - PH
(2)</v>
          </cell>
          <cell r="P7" t="str">
            <v>3 - PH
(3)</v>
          </cell>
          <cell r="Q7" t="str">
            <v>LV/H
CT (4)</v>
          </cell>
          <cell r="R7" t="str">
            <v>REMARKS</v>
          </cell>
        </row>
        <row r="8">
          <cell r="A8" t="str">
            <v>INCOMER (NON AUTO)</v>
          </cell>
          <cell r="B8" t="str">
            <v>TP</v>
          </cell>
          <cell r="D8">
            <v>800</v>
          </cell>
          <cell r="F8">
            <v>50</v>
          </cell>
          <cell r="G8" t="str">
            <v>FR/SWA/ LSOH</v>
          </cell>
          <cell r="I8" t="str">
            <v>2x4c 300</v>
          </cell>
          <cell r="J8" t="str">
            <v>1c 150</v>
          </cell>
          <cell r="K8">
            <v>113.6</v>
          </cell>
          <cell r="L8">
            <v>113.6</v>
          </cell>
          <cell r="M8">
            <v>113.1</v>
          </cell>
        </row>
        <row r="9">
          <cell r="A9" t="str">
            <v>OUTGOING</v>
          </cell>
        </row>
        <row r="10">
          <cell r="A10" t="str">
            <v>I-LMCP-AHU-R-LG-1</v>
          </cell>
          <cell r="B10" t="str">
            <v>TP</v>
          </cell>
          <cell r="D10">
            <v>125</v>
          </cell>
          <cell r="F10">
            <v>36</v>
          </cell>
          <cell r="G10" t="str">
            <v>FR/SWA/ LSOH</v>
          </cell>
          <cell r="I10" t="str">
            <v>4c 70</v>
          </cell>
          <cell r="J10" t="str">
            <v>1c 35</v>
          </cell>
          <cell r="K10">
            <v>19.566666666666666</v>
          </cell>
          <cell r="L10">
            <v>19.066666666666666</v>
          </cell>
          <cell r="M10">
            <v>19.066666666666666</v>
          </cell>
        </row>
        <row r="11">
          <cell r="A11" t="str">
            <v>I-LMCP-AHU-R-LG-2</v>
          </cell>
          <cell r="B11" t="str">
            <v>TP</v>
          </cell>
          <cell r="D11">
            <v>125</v>
          </cell>
          <cell r="F11">
            <v>36</v>
          </cell>
          <cell r="G11" t="str">
            <v>FR/SWA/ LSOH</v>
          </cell>
          <cell r="I11" t="str">
            <v>4c 70</v>
          </cell>
          <cell r="J11" t="str">
            <v>1c 35</v>
          </cell>
          <cell r="K11">
            <v>19.266666666666666</v>
          </cell>
          <cell r="L11">
            <v>19.766666666666666</v>
          </cell>
          <cell r="M11">
            <v>19.266666666666666</v>
          </cell>
        </row>
        <row r="12">
          <cell r="A12" t="str">
            <v>I-LMCP-AHU-R-1-1</v>
          </cell>
          <cell r="B12" t="str">
            <v>TP</v>
          </cell>
          <cell r="D12">
            <v>160</v>
          </cell>
          <cell r="F12">
            <v>36</v>
          </cell>
          <cell r="G12" t="str">
            <v>FR/SWA/ LSOH</v>
          </cell>
          <cell r="I12" t="str">
            <v>4c 70</v>
          </cell>
          <cell r="J12" t="str">
            <v>1c 35</v>
          </cell>
          <cell r="K12">
            <v>22.200000000000003</v>
          </cell>
          <cell r="L12">
            <v>22.200000000000003</v>
          </cell>
          <cell r="M12">
            <v>22.700000000000003</v>
          </cell>
        </row>
        <row r="13">
          <cell r="A13" t="str">
            <v>I-LMCP-AHU-R-1-2</v>
          </cell>
          <cell r="B13" t="str">
            <v>TP</v>
          </cell>
          <cell r="D13">
            <v>160</v>
          </cell>
          <cell r="F13">
            <v>36</v>
          </cell>
          <cell r="G13" t="str">
            <v>FR/SWA/ LSOH</v>
          </cell>
          <cell r="I13" t="str">
            <v>4c 70</v>
          </cell>
          <cell r="J13" t="str">
            <v>1c 35</v>
          </cell>
          <cell r="K13">
            <v>23.3</v>
          </cell>
          <cell r="L13">
            <v>22.8</v>
          </cell>
          <cell r="M13">
            <v>22.8</v>
          </cell>
        </row>
        <row r="14">
          <cell r="A14" t="str">
            <v>I-LMCP-PAU-R-3-1</v>
          </cell>
          <cell r="B14" t="str">
            <v>TP</v>
          </cell>
          <cell r="D14">
            <v>160</v>
          </cell>
          <cell r="F14">
            <v>36</v>
          </cell>
          <cell r="G14" t="str">
            <v>FR/SWA/ LSOH</v>
          </cell>
          <cell r="I14" t="str">
            <v>4c 70</v>
          </cell>
          <cell r="J14" t="str">
            <v>1c 35</v>
          </cell>
          <cell r="K14">
            <v>29.266666666666666</v>
          </cell>
          <cell r="L14">
            <v>29.766666666666666</v>
          </cell>
          <cell r="M14">
            <v>29.266666666666666</v>
          </cell>
        </row>
        <row r="24">
          <cell r="A24" t="str">
            <v xml:space="preserve"> </v>
          </cell>
        </row>
        <row r="25">
          <cell r="A25" t="str">
            <v xml:space="preserve">CONNECTED TO : </v>
          </cell>
          <cell r="B25" t="str">
            <v>MSB-M-8</v>
          </cell>
          <cell r="F25" t="str">
            <v>TOTAL CONNECTED LOAD PER PHASE</v>
          </cell>
          <cell r="K25">
            <v>113.6</v>
          </cell>
          <cell r="L25">
            <v>113.6</v>
          </cell>
          <cell r="M25">
            <v>113.1</v>
          </cell>
          <cell r="R25" t="str">
            <v>TOTAL</v>
          </cell>
        </row>
        <row r="28">
          <cell r="A28" t="str">
            <v xml:space="preserve">MAX. DEMAND (3 PH.):   </v>
          </cell>
          <cell r="B28">
            <v>306.27</v>
          </cell>
          <cell r="C28" t="str">
            <v>kW</v>
          </cell>
          <cell r="D28" t="str">
            <v xml:space="preserve">AT </v>
          </cell>
          <cell r="E28">
            <v>0.9</v>
          </cell>
          <cell r="F28" t="str">
            <v>DIVERSITY</v>
          </cell>
          <cell r="J28" t="str">
            <v xml:space="preserve">TOTAL CONNECTED LOAD(3 PH)   </v>
          </cell>
          <cell r="N28">
            <v>340.29999999999995</v>
          </cell>
          <cell r="O28" t="str">
            <v>kW</v>
          </cell>
        </row>
        <row r="31">
          <cell r="A31" t="str">
            <v>CONTRACTOR:</v>
          </cell>
          <cell r="K31" t="str">
            <v xml:space="preserve">TEL: </v>
          </cell>
          <cell r="O31" t="str">
            <v xml:space="preserve">FAX: </v>
          </cell>
        </row>
        <row r="33">
          <cell r="A33" t="str">
            <v>Type of Meter (Rating of Incomer):</v>
          </cell>
          <cell r="F33" t="str">
            <v>(1)  Upto 60A</v>
          </cell>
          <cell r="H33" t="str">
            <v>(2)  Upto 100 A</v>
          </cell>
          <cell r="K33" t="str">
            <v>(3)  125 - 160 A</v>
          </cell>
          <cell r="M33" t="str">
            <v>(4)  LV CT ..2400/5.......A</v>
          </cell>
          <cell r="Q33" t="str">
            <v>HV  CT .........../..........A</v>
          </cell>
        </row>
        <row r="34">
          <cell r="F34" t="str">
            <v xml:space="preserve">       (1 Phase)</v>
          </cell>
          <cell r="H34" t="str">
            <v xml:space="preserve">       (3 Phase)</v>
          </cell>
          <cell r="K34" t="str">
            <v xml:space="preserve">       </v>
          </cell>
        </row>
      </sheetData>
      <sheetData sheetId="80"/>
      <sheetData sheetId="81"/>
      <sheetData sheetId="82"/>
      <sheetData sheetId="83"/>
      <sheetData sheetId="84"/>
      <sheetData sheetId="85">
        <row r="1">
          <cell r="A1" t="str">
            <v>PROJECT: DUBAI MARINA MALL &amp; HOTEL/APARTMENT</v>
          </cell>
          <cell r="I1" t="str">
            <v>DETAILS OF CONNECTED LOAD/ MAX. DEMAND</v>
          </cell>
        </row>
        <row r="2">
          <cell r="I2" t="str">
            <v>OWNER:</v>
          </cell>
          <cell r="J2" t="str">
            <v>EMAAR PROPERTIES PSJC</v>
          </cell>
          <cell r="O2" t="str">
            <v>AREA:</v>
          </cell>
          <cell r="Q2" t="str">
            <v>DUBAI,UNITED ARAB EMIRATES</v>
          </cell>
        </row>
        <row r="3">
          <cell r="E3" t="str">
            <v xml:space="preserve"> </v>
          </cell>
          <cell r="O3" t="str">
            <v xml:space="preserve"> LOCATION OF MCP: </v>
          </cell>
          <cell r="R3" t="str">
            <v xml:space="preserve"> LOWER GROUND MEZZ </v>
          </cell>
        </row>
        <row r="4">
          <cell r="A4" t="str">
            <v xml:space="preserve">MDB / SMDB </v>
          </cell>
          <cell r="B4" t="str">
            <v>SBE-M-LGM-3</v>
          </cell>
          <cell r="I4" t="str">
            <v>CONSULTANT:MEINHARDT SINGAPORE PTE LTD.</v>
          </cell>
        </row>
        <row r="6">
          <cell r="A6" t="str">
            <v>CIRCUIT/</v>
          </cell>
          <cell r="B6" t="str">
            <v>SP/</v>
          </cell>
          <cell r="C6" t="str">
            <v>RATING - AMPS</v>
          </cell>
          <cell r="F6" t="str">
            <v>Isc FAULT</v>
          </cell>
          <cell r="G6" t="str">
            <v>FR or
XLPE</v>
          </cell>
          <cell r="H6" t="str">
            <v>CABLE SIZE</v>
          </cell>
          <cell r="J6" t="str">
            <v>CPC
SIZE-</v>
          </cell>
          <cell r="K6" t="str">
            <v>CONNECTED LOAD - KW</v>
          </cell>
          <cell r="N6" t="str">
            <v>PROPOSED TYPE &amp; NO. OF
KWH METERS</v>
          </cell>
        </row>
        <row r="7">
          <cell r="A7" t="str">
            <v>FEEDER
DB No.</v>
          </cell>
          <cell r="B7" t="str">
            <v>TP</v>
          </cell>
          <cell r="C7" t="str">
            <v>ACB</v>
          </cell>
          <cell r="D7" t="str">
            <v>MCCB</v>
          </cell>
          <cell r="E7" t="str">
            <v>MCB</v>
          </cell>
          <cell r="F7" t="str">
            <v>DUTY
KA</v>
          </cell>
          <cell r="G7" t="str">
            <v>SWA/
LS0H</v>
          </cell>
          <cell r="H7" t="str">
            <v>2/4 X1C
mm^2</v>
          </cell>
          <cell r="I7" t="str">
            <v>2/3/4C
mm^2</v>
          </cell>
          <cell r="J7" t="str">
            <v>1c
mm^2</v>
          </cell>
          <cell r="K7" t="str">
            <v>R-PH
KW</v>
          </cell>
          <cell r="L7" t="str">
            <v>Y-PH
KW</v>
          </cell>
          <cell r="M7" t="str">
            <v>B-PH
KW</v>
          </cell>
          <cell r="N7" t="str">
            <v>1 - PH
(1)</v>
          </cell>
          <cell r="O7" t="str">
            <v>3 - PH
(2)</v>
          </cell>
          <cell r="P7" t="str">
            <v>3 - PH
(3)</v>
          </cell>
          <cell r="Q7" t="str">
            <v>LV/H
CT (4)</v>
          </cell>
          <cell r="R7" t="str">
            <v>REMARKS</v>
          </cell>
        </row>
        <row r="8">
          <cell r="A8" t="str">
            <v>INCOMER (NON AUTO)</v>
          </cell>
          <cell r="B8" t="str">
            <v>TP</v>
          </cell>
          <cell r="D8">
            <v>800</v>
          </cell>
          <cell r="F8">
            <v>50</v>
          </cell>
          <cell r="G8" t="str">
            <v>FR/SWA/ LSOH</v>
          </cell>
          <cell r="I8" t="str">
            <v>2x4c 300</v>
          </cell>
          <cell r="J8" t="str">
            <v>1c 150</v>
          </cell>
          <cell r="K8">
            <v>121.46666666666665</v>
          </cell>
          <cell r="L8">
            <v>119.46666666666665</v>
          </cell>
          <cell r="M8">
            <v>119.46666666666665</v>
          </cell>
        </row>
        <row r="9">
          <cell r="A9" t="str">
            <v>OUTGOING</v>
          </cell>
        </row>
        <row r="10">
          <cell r="A10" t="str">
            <v>I-LMCP-SEF-R-LGM-1</v>
          </cell>
          <cell r="B10" t="str">
            <v>TP</v>
          </cell>
          <cell r="D10">
            <v>200</v>
          </cell>
          <cell r="F10">
            <v>36</v>
          </cell>
          <cell r="G10" t="str">
            <v>FR/SWA/ LSOH</v>
          </cell>
          <cell r="I10" t="str">
            <v>4c 150</v>
          </cell>
          <cell r="J10" t="str">
            <v>1c 70</v>
          </cell>
          <cell r="K10">
            <v>30.366666666666664</v>
          </cell>
          <cell r="L10">
            <v>29.866666666666664</v>
          </cell>
          <cell r="M10">
            <v>29.866666666666664</v>
          </cell>
        </row>
        <row r="11">
          <cell r="A11" t="str">
            <v>I-LMCP-SEF-R-LGM-2</v>
          </cell>
          <cell r="B11" t="str">
            <v>TP</v>
          </cell>
          <cell r="D11">
            <v>200</v>
          </cell>
          <cell r="F11">
            <v>36</v>
          </cell>
          <cell r="G11" t="str">
            <v>FR/SWA/ LSOH</v>
          </cell>
          <cell r="I11" t="str">
            <v>4c 150</v>
          </cell>
          <cell r="J11" t="str">
            <v>1c 70</v>
          </cell>
          <cell r="K11">
            <v>30.366666666666664</v>
          </cell>
          <cell r="L11">
            <v>29.866666666666664</v>
          </cell>
          <cell r="M11">
            <v>29.866666666666664</v>
          </cell>
        </row>
        <row r="12">
          <cell r="A12" t="str">
            <v>I-LMCP-SEF-R-LGM-3</v>
          </cell>
          <cell r="B12" t="str">
            <v>TP</v>
          </cell>
          <cell r="D12">
            <v>200</v>
          </cell>
          <cell r="F12">
            <v>36</v>
          </cell>
          <cell r="G12" t="str">
            <v>FR/SWA/ LSOH</v>
          </cell>
          <cell r="I12" t="str">
            <v>4c 150</v>
          </cell>
          <cell r="J12" t="str">
            <v>1c 70</v>
          </cell>
          <cell r="K12">
            <v>30.366666666666664</v>
          </cell>
          <cell r="L12">
            <v>29.866666666666664</v>
          </cell>
          <cell r="M12">
            <v>29.866666666666664</v>
          </cell>
        </row>
        <row r="13">
          <cell r="A13" t="str">
            <v>I-LMCP-SEF-R-LGM-4</v>
          </cell>
          <cell r="B13" t="str">
            <v>TP</v>
          </cell>
          <cell r="D13">
            <v>200</v>
          </cell>
          <cell r="F13">
            <v>36</v>
          </cell>
          <cell r="G13" t="str">
            <v>FR/SWA/ LSOH</v>
          </cell>
          <cell r="I13" t="str">
            <v>4c 150</v>
          </cell>
          <cell r="J13" t="str">
            <v>1c 70</v>
          </cell>
          <cell r="K13">
            <v>30.366666666666664</v>
          </cell>
          <cell r="L13">
            <v>29.866666666666664</v>
          </cell>
          <cell r="M13">
            <v>29.866666666666664</v>
          </cell>
        </row>
        <row r="24">
          <cell r="A24" t="str">
            <v xml:space="preserve"> </v>
          </cell>
        </row>
        <row r="25">
          <cell r="A25" t="str">
            <v xml:space="preserve">CONNECTED TO : </v>
          </cell>
          <cell r="B25" t="str">
            <v>MSB-M-8</v>
          </cell>
          <cell r="F25" t="str">
            <v>TOTAL CONNECTED LOAD PER PHASE</v>
          </cell>
          <cell r="K25">
            <v>121.46666666666665</v>
          </cell>
          <cell r="L25">
            <v>119.46666666666665</v>
          </cell>
          <cell r="M25">
            <v>119.46666666666665</v>
          </cell>
          <cell r="R25" t="str">
            <v>TOTAL</v>
          </cell>
        </row>
        <row r="28">
          <cell r="A28" t="str">
            <v xml:space="preserve">MAX. DEMAND (3 PH.):   </v>
          </cell>
          <cell r="B28">
            <v>324.36</v>
          </cell>
          <cell r="C28" t="str">
            <v>kW</v>
          </cell>
          <cell r="D28" t="str">
            <v xml:space="preserve">AT </v>
          </cell>
          <cell r="E28">
            <v>0.9</v>
          </cell>
          <cell r="F28" t="str">
            <v>DIVERSITY</v>
          </cell>
          <cell r="J28" t="str">
            <v xml:space="preserve">TOTAL CONNECTED LOAD(3 PH)   </v>
          </cell>
          <cell r="N28">
            <v>360.4</v>
          </cell>
          <cell r="O28" t="str">
            <v>kW</v>
          </cell>
        </row>
        <row r="31">
          <cell r="A31" t="str">
            <v>CONTRACTOR:</v>
          </cell>
          <cell r="K31" t="str">
            <v xml:space="preserve">TEL: </v>
          </cell>
          <cell r="O31" t="str">
            <v xml:space="preserve">FAX: </v>
          </cell>
        </row>
        <row r="33">
          <cell r="A33" t="str">
            <v>Type of Meter (Rating of Incomer):</v>
          </cell>
          <cell r="F33" t="str">
            <v>(1)  Upto 60A</v>
          </cell>
          <cell r="H33" t="str">
            <v>(2)  Upto 100 A</v>
          </cell>
          <cell r="K33" t="str">
            <v>(3)  125 - 160 A</v>
          </cell>
          <cell r="M33" t="str">
            <v>(4)  LV CT ..2500/5.......A</v>
          </cell>
          <cell r="Q33" t="str">
            <v>HV  CT .........../..........A</v>
          </cell>
        </row>
        <row r="34">
          <cell r="F34" t="str">
            <v xml:space="preserve">       (1 Phase)</v>
          </cell>
          <cell r="H34" t="str">
            <v xml:space="preserve">       (3 Phase)</v>
          </cell>
          <cell r="K34" t="str">
            <v xml:space="preserve">       </v>
          </cell>
        </row>
      </sheetData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SB_M_COVER"/>
      <sheetName val="LVSB_M_7"/>
      <sheetName val="MSB_M_7"/>
      <sheetName val="SBE_MC_2_2"/>
      <sheetName val="LMCP_JF_2_2"/>
      <sheetName val="LMCP_JF_2M_2"/>
      <sheetName val="LMCP_JF_3_2"/>
      <sheetName val="LMCP_JF_3_3"/>
      <sheetName val="LMCP_JF_4_1"/>
      <sheetName val="LMCP_JF_4_2"/>
      <sheetName val="LMCP_JF_5_1"/>
      <sheetName val="LMCP_JF_5_2"/>
      <sheetName val="LMCP_JF_5M_1"/>
      <sheetName val="LMCP_JF_5M_2"/>
      <sheetName val="LMCP_SEF_R_1_1"/>
      <sheetName val="LMCP_CEF_R_2_1 "/>
      <sheetName val="SB_MC_5M_1"/>
      <sheetName val="DB_MC_5M_1A _1_ "/>
      <sheetName val="DB_MC_5M_1A _2_  "/>
      <sheetName val="DB_MC_5M_1B _1_"/>
      <sheetName val="DB_MC_5M_1B _2_"/>
      <sheetName val="DB_MC_5M_1C"/>
      <sheetName val="DB_MC_5M_2A_1_"/>
      <sheetName val="DB_MC_5M_2A_2_"/>
      <sheetName val="DB_MC_5M_2B_1_"/>
      <sheetName val="DB_MC_5M_2B_2_ "/>
      <sheetName val="DB_MC_5M_2C_"/>
      <sheetName val="SB_MC_5_1"/>
      <sheetName val="DB_MC_5_1A_1_"/>
      <sheetName val="DB_MC_5_1A_2_"/>
      <sheetName val="DB_MC_5_1B_1_"/>
      <sheetName val="DB_MC_5_1B_2_"/>
      <sheetName val="DB_MC_5_2A_1_"/>
      <sheetName val="DB_MC_5_2A_2_ "/>
      <sheetName val="DB-MC-5-2B(1)"/>
      <sheetName val="DB-MC-5-2B(2)"/>
      <sheetName val="SB_MC_4_1"/>
      <sheetName val="DB_MC_4_1A_1_ "/>
      <sheetName val="DB_MC_4_1A_2_ "/>
      <sheetName val="DB_MC_4_1B_1_"/>
      <sheetName val="DB_MC_4_1B_2_"/>
      <sheetName val="DB_MC_4_2A_1_ "/>
      <sheetName val="DB_MC_4_2A_2_ "/>
      <sheetName val="DB_MC_4_2B_1_"/>
      <sheetName val="DB_MC_4_2B_2_"/>
      <sheetName val="SB_MC_3M_1"/>
      <sheetName val="DB_MC_3M_1A_1_ "/>
      <sheetName val="DB_MC_3M_1A_2_ "/>
      <sheetName val="DB_MC_3M_1B_1_"/>
      <sheetName val="DB_MC_3M_1B_2_"/>
      <sheetName val="DB_MC_3M_2A_1_"/>
      <sheetName val="DB_MC_3M_2A_2_"/>
      <sheetName val="DB_MC_3M_2B_1_"/>
      <sheetName val="DB_MC_3M_2B_2_"/>
      <sheetName val="SB_MC_3_1"/>
      <sheetName val="DB_MC_3_1A_1_ "/>
      <sheetName val="DB_MC_3_1A_2_ "/>
      <sheetName val="DB_MC_3_1B_1_"/>
      <sheetName val="DB_MC_3_1B_2_"/>
      <sheetName val="DB_MC_3_2A_1_"/>
      <sheetName val="DB_MC_3_2A_2_"/>
      <sheetName val="DB_MC_3_2B_1_ "/>
      <sheetName val="DB_MC_3_2B_2_ "/>
      <sheetName val="SB_MC_2_1"/>
      <sheetName val="DB_MC_G_1A _1_"/>
      <sheetName val="DB_MC_G_1A _2_"/>
      <sheetName val="DB_MC_1_1A_1_"/>
      <sheetName val="DB_MC_1_1A_2_"/>
      <sheetName val="DB_M_1_3_1_"/>
      <sheetName val="DB_M_1_3_2_"/>
      <sheetName val="DB_M_1_3_3_"/>
      <sheetName val="DB_MC_2_1A_1_ "/>
      <sheetName val="DB_MC_2_1A_2_   "/>
      <sheetName val="DB_MC_2_1B _1_"/>
      <sheetName val="DB_MC_2_1B _2_"/>
      <sheetName val="DB_MC_2_1B _3_"/>
      <sheetName val="LMCP_H-TX_LG"/>
      <sheetName val="LVSB_M_8"/>
      <sheetName val="MSB_M_8"/>
      <sheetName val="SBE_M_LG_2"/>
      <sheetName val="LMCP_AHU_R_LG_1"/>
      <sheetName val="LMCP_AHU_R_LG_2"/>
      <sheetName val="LMCP_AHU_R_1_1"/>
      <sheetName val="LMCP_AHU_R_1_2"/>
      <sheetName val="LMCP_PAU_R_3_1"/>
      <sheetName val="SBE_M_LGM_3"/>
      <sheetName val="LMCP_SEF_R_LGM_1"/>
      <sheetName val="SBE_MC_LGM_2"/>
      <sheetName val="LMCP_EF_R_LG_1"/>
      <sheetName val="LMCP_EF_R_LG_4"/>
      <sheetName val="LMCP_EF_R_LG_5"/>
      <sheetName val="SB_MC_B2_1"/>
      <sheetName val="DB_MC_B2_1A_1_"/>
      <sheetName val="DB_MC_B2_1A_2_"/>
      <sheetName val="DB_MC_B2_1B_1_"/>
      <sheetName val="DB_MC_B2_1B_2_"/>
      <sheetName val="DB_MC_B2_2A_1_"/>
      <sheetName val="DB_MC_B2_2A_2_"/>
      <sheetName val="DB_MC_B2_2B_1_"/>
      <sheetName val="DB_MC_B2_2B_2_"/>
      <sheetName val="LMCP_EF_R_B2_3"/>
      <sheetName val="SB_MC_B1_3 "/>
      <sheetName val="DB_MC_B2_3A_1_"/>
      <sheetName val="DB_MC_B2_3A_2_"/>
      <sheetName val="DB_MC_B2_3A_3_"/>
      <sheetName val="DB_MC_B2_3B_1_"/>
      <sheetName val="DB_MC_B2_3B_2_"/>
      <sheetName val="DB_MC_B2_3B_3_"/>
      <sheetName val="DB_MC_B1_3A_1_  "/>
      <sheetName val="DB_MC_B1_3A_2_"/>
      <sheetName val="DB_MC_B1_3B_1_"/>
      <sheetName val="DB_MC_B1_3B_2_"/>
      <sheetName val="DB_MC_B1_7"/>
      <sheetName val="DB_MC_B1_8"/>
      <sheetName val="SB_MC_B1_4"/>
      <sheetName val="DB_MC_B1_1A_1_"/>
      <sheetName val="DB_MC_B1_1A_2_"/>
      <sheetName val="DB_MC_B1_1B_1_"/>
      <sheetName val="DB_MC_B1_1B_2_"/>
      <sheetName val="DB_MC_B1_2A_1_"/>
      <sheetName val="DB_MC_B1_2A _2_"/>
      <sheetName val="DB_MC_B1_2A _3_"/>
      <sheetName val="DB_MC_B1_2B_1_"/>
      <sheetName val="DB_MC_B1_2B_2_"/>
      <sheetName val="DB_MC_LGM-1 (ADD'L)"/>
      <sheetName val="SB-WF-M-LG-M-1"/>
      <sheetName val="SB_M_G_1C"/>
      <sheetName val="LSB_MC_R_4"/>
      <sheetName val="LDB_M_R_4"/>
      <sheetName val="LDB-M-R-4"/>
      <sheetName val="LMCP_CEF_G_5"/>
      <sheetName val="LMCP_CEF_2_7 "/>
      <sheetName val="DB_MC_B2_1A_3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>
        <row r="1">
          <cell r="A1" t="str">
            <v>PROJECT: DUBAI MARINA MALL &amp; HOTEL/APARTMENTS</v>
          </cell>
          <cell r="I1" t="str">
            <v>OWNER:</v>
          </cell>
          <cell r="J1" t="str">
            <v>EMAAR PROPERTIES PSJC</v>
          </cell>
          <cell r="O1" t="str">
            <v>AREA:</v>
          </cell>
          <cell r="Q1" t="str">
            <v>DUBAI,UNITED ARAB EMIRATES</v>
          </cell>
        </row>
        <row r="2">
          <cell r="A2" t="str">
            <v>PLANNED COMPLETION DATE:</v>
          </cell>
          <cell r="I2" t="str">
            <v>CONSULTANT: MEINHARDT SINGAPORE PTE LTD.</v>
          </cell>
          <cell r="J2" t="str">
            <v>EMAAR PROPERTIES PSJC</v>
          </cell>
          <cell r="O2" t="str">
            <v>PLOT NO.:</v>
          </cell>
          <cell r="Q2" t="str">
            <v>392-479</v>
          </cell>
        </row>
        <row r="3">
          <cell r="E3" t="str">
            <v xml:space="preserve"> </v>
          </cell>
          <cell r="O3" t="str">
            <v xml:space="preserve"> LOCATION OF MCP: </v>
          </cell>
          <cell r="R3" t="str">
            <v>1ST FLOOR</v>
          </cell>
        </row>
        <row r="4">
          <cell r="A4" t="str">
            <v xml:space="preserve">MDB / SMDB </v>
          </cell>
          <cell r="B4" t="str">
            <v>LMCP-AHU-R-1-1</v>
          </cell>
          <cell r="I4" t="str">
            <v>LOCATION OF LMCP:  1ST FLOOR</v>
          </cell>
          <cell r="O4" t="str">
            <v>LOCATION:</v>
          </cell>
          <cell r="Q4" t="str">
            <v>MARSA, DUBAI</v>
          </cell>
        </row>
        <row r="6">
          <cell r="A6" t="str">
            <v>CIRCUIT/</v>
          </cell>
          <cell r="B6" t="str">
            <v>SP/</v>
          </cell>
          <cell r="C6" t="str">
            <v>RATING - AMPS</v>
          </cell>
          <cell r="F6" t="str">
            <v>Isc FAULT</v>
          </cell>
          <cell r="G6" t="str">
            <v>FR or
XLPE</v>
          </cell>
          <cell r="H6" t="str">
            <v>CABLE SIZE</v>
          </cell>
          <cell r="J6" t="str">
            <v>CPC
SIZE-</v>
          </cell>
          <cell r="K6" t="str">
            <v>CONNECTED LOAD - KW</v>
          </cell>
          <cell r="N6" t="str">
            <v>PROPOSED TYPE &amp; NO. OF
KWH METERS</v>
          </cell>
        </row>
        <row r="7">
          <cell r="A7" t="str">
            <v>FEEDER
DB No.</v>
          </cell>
          <cell r="B7" t="str">
            <v>TP</v>
          </cell>
          <cell r="C7" t="str">
            <v>ACB</v>
          </cell>
          <cell r="D7" t="str">
            <v>MCCB</v>
          </cell>
          <cell r="E7" t="str">
            <v>MCB</v>
          </cell>
          <cell r="F7" t="str">
            <v>DUTY
KA</v>
          </cell>
          <cell r="G7" t="str">
            <v>SWA/
LS0H</v>
          </cell>
          <cell r="H7" t="str">
            <v>2/4 X1C
mm^2</v>
          </cell>
          <cell r="I7" t="str">
            <v>2/3/4C
mm^2</v>
          </cell>
          <cell r="J7" t="str">
            <v>1c
mm^2</v>
          </cell>
          <cell r="K7" t="str">
            <v>R-PH
KW</v>
          </cell>
          <cell r="L7" t="str">
            <v>Y-PH
KW</v>
          </cell>
          <cell r="M7" t="str">
            <v>B-PH
KW</v>
          </cell>
          <cell r="N7" t="str">
            <v>1 - PH
(1)</v>
          </cell>
          <cell r="O7" t="str">
            <v>3 - PH
(2)</v>
          </cell>
          <cell r="P7" t="str">
            <v>3 - PH
(3)</v>
          </cell>
          <cell r="Q7" t="str">
            <v>LV/H
CT (4)</v>
          </cell>
          <cell r="R7" t="str">
            <v>REMARKS</v>
          </cell>
        </row>
        <row r="8">
          <cell r="A8" t="str">
            <v>INCOMER (NON AUTO)</v>
          </cell>
          <cell r="B8" t="str">
            <v>TP</v>
          </cell>
          <cell r="D8">
            <v>160</v>
          </cell>
          <cell r="F8">
            <v>36</v>
          </cell>
          <cell r="G8" t="str">
            <v>FR/SWA/ LSOH</v>
          </cell>
          <cell r="I8" t="str">
            <v>4c 70</v>
          </cell>
          <cell r="J8" t="str">
            <v>1c 35</v>
          </cell>
          <cell r="K8">
            <v>22.200000000000003</v>
          </cell>
          <cell r="L8">
            <v>22.200000000000003</v>
          </cell>
          <cell r="M8">
            <v>22.700000000000003</v>
          </cell>
        </row>
        <row r="9">
          <cell r="A9" t="str">
            <v>OUTGOING</v>
          </cell>
        </row>
        <row r="10">
          <cell r="A10" t="str">
            <v>AHU-R-1-1</v>
          </cell>
          <cell r="B10" t="str">
            <v>TP</v>
          </cell>
          <cell r="D10">
            <v>63</v>
          </cell>
          <cell r="F10">
            <v>36</v>
          </cell>
          <cell r="G10" t="str">
            <v>FR/SWA/ LSOH</v>
          </cell>
          <cell r="I10" t="str">
            <v>3c 16</v>
          </cell>
          <cell r="J10" t="str">
            <v>1c 16</v>
          </cell>
          <cell r="K10">
            <v>12.366666666666667</v>
          </cell>
          <cell r="L10">
            <v>12.366666666666667</v>
          </cell>
          <cell r="M10">
            <v>12.366666666666667</v>
          </cell>
          <cell r="R10" t="str">
            <v>100mA ELCB + SOFT STARTER</v>
          </cell>
        </row>
        <row r="11">
          <cell r="A11" t="str">
            <v>AHU-R-1-3</v>
          </cell>
          <cell r="B11" t="str">
            <v>TP</v>
          </cell>
          <cell r="D11">
            <v>63</v>
          </cell>
          <cell r="F11">
            <v>36</v>
          </cell>
          <cell r="G11" t="str">
            <v>FR/SWA/ LSOH</v>
          </cell>
          <cell r="I11" t="str">
            <v>3c 16</v>
          </cell>
          <cell r="J11" t="str">
            <v>1c 16</v>
          </cell>
          <cell r="K11">
            <v>9.8333333333333339</v>
          </cell>
          <cell r="L11">
            <v>9.8333333333333339</v>
          </cell>
          <cell r="M11">
            <v>9.8333333333333339</v>
          </cell>
          <cell r="R11" t="str">
            <v>100mA ELCB + SOFT STARTER</v>
          </cell>
        </row>
        <row r="12">
          <cell r="A12" t="str">
            <v>CONTROLS</v>
          </cell>
          <cell r="B12" t="str">
            <v>SP</v>
          </cell>
          <cell r="D12">
            <v>10</v>
          </cell>
          <cell r="F12">
            <v>36</v>
          </cell>
          <cell r="G12" t="str">
            <v>FR/SWA/ LSOH</v>
          </cell>
          <cell r="I12" t="str">
            <v>2c 1.5</v>
          </cell>
          <cell r="M12">
            <v>0.5</v>
          </cell>
        </row>
        <row r="22">
          <cell r="A22" t="str">
            <v xml:space="preserve"> </v>
          </cell>
        </row>
        <row r="23">
          <cell r="A23" t="str">
            <v>CONNECTED TO :</v>
          </cell>
          <cell r="B23" t="str">
            <v>SBE-M-LG-2</v>
          </cell>
          <cell r="F23" t="str">
            <v>TOTAL CONNECTED LOAD PER PHASE</v>
          </cell>
          <cell r="K23">
            <v>22.200000000000003</v>
          </cell>
          <cell r="L23">
            <v>22.200000000000003</v>
          </cell>
          <cell r="M23">
            <v>22.700000000000003</v>
          </cell>
          <cell r="R23" t="str">
            <v>TOTAL</v>
          </cell>
        </row>
        <row r="26">
          <cell r="A26" t="str">
            <v xml:space="preserve">MAX. DEMAND (3 PH.):   </v>
          </cell>
          <cell r="B26">
            <v>67.100000000000009</v>
          </cell>
          <cell r="C26" t="str">
            <v>kW</v>
          </cell>
          <cell r="D26" t="str">
            <v xml:space="preserve">AT </v>
          </cell>
          <cell r="E26">
            <v>1</v>
          </cell>
          <cell r="F26" t="str">
            <v>DIVERSITY</v>
          </cell>
          <cell r="J26" t="str">
            <v xml:space="preserve">TOTAL CONNECTED LOAD(3 PH)   </v>
          </cell>
          <cell r="N26">
            <v>67.100000000000009</v>
          </cell>
          <cell r="O26" t="str">
            <v>kW</v>
          </cell>
        </row>
        <row r="29">
          <cell r="A29" t="str">
            <v>CONTRACTOR:</v>
          </cell>
          <cell r="K29" t="str">
            <v xml:space="preserve">TEL: </v>
          </cell>
          <cell r="O29" t="str">
            <v xml:space="preserve">FAX: </v>
          </cell>
        </row>
        <row r="31">
          <cell r="A31" t="str">
            <v>Type of Meter (Rating of Incomer):</v>
          </cell>
          <cell r="F31" t="str">
            <v>(1)  Upto 60A</v>
          </cell>
          <cell r="H31" t="str">
            <v>(2)  Upto 100 A</v>
          </cell>
          <cell r="K31" t="str">
            <v>(3)  125 - 160 A</v>
          </cell>
          <cell r="M31" t="str">
            <v>(4)  LV CT ..2400/5.......A</v>
          </cell>
          <cell r="Q31" t="str">
            <v>HV  CT .........../..........A</v>
          </cell>
        </row>
        <row r="32">
          <cell r="F32" t="str">
            <v xml:space="preserve">       (1 Phase)</v>
          </cell>
          <cell r="H32" t="str">
            <v xml:space="preserve">       (3 Phase)</v>
          </cell>
          <cell r="K32" t="str">
            <v xml:space="preserve">       </v>
          </cell>
        </row>
      </sheetData>
      <sheetData sheetId="83"/>
      <sheetData sheetId="84"/>
      <sheetData sheetId="85"/>
      <sheetData sheetId="86">
        <row r="1">
          <cell r="A1" t="str">
            <v>PROJECT: DUBAI MARINA MALL &amp; HOTEL/APARTMENTS</v>
          </cell>
          <cell r="I1" t="str">
            <v>DETAILS OF CONNECTED LOAD/ MAX. DEMAND</v>
          </cell>
        </row>
        <row r="2">
          <cell r="I2" t="str">
            <v>OWNER:</v>
          </cell>
          <cell r="J2" t="str">
            <v>EMAAR PROPERTIES PSJC</v>
          </cell>
          <cell r="O2" t="str">
            <v>AREA:</v>
          </cell>
          <cell r="Q2" t="str">
            <v>DUBAI,UNITED ARAB EMIRATES</v>
          </cell>
        </row>
        <row r="3">
          <cell r="O3" t="str">
            <v xml:space="preserve"> LOCATION OF MCP: </v>
          </cell>
          <cell r="R3" t="str">
            <v>LOWER GROUND MEZZ.</v>
          </cell>
        </row>
        <row r="4">
          <cell r="A4" t="str">
            <v xml:space="preserve">MDB / SMDB </v>
          </cell>
          <cell r="B4" t="str">
            <v>LMCP-SEF-R-LGM-1 (TYP. LMCP-SEF-R-LGM-2 TO 4)</v>
          </cell>
          <cell r="I4" t="str">
            <v>CONSULTANT:MEINHARDT SINGAPORE PTE LTD.</v>
          </cell>
        </row>
        <row r="6">
          <cell r="A6" t="str">
            <v>CIRCUIT/</v>
          </cell>
          <cell r="B6" t="str">
            <v>SP/</v>
          </cell>
          <cell r="C6" t="str">
            <v>RATING - AMPS</v>
          </cell>
          <cell r="F6" t="str">
            <v>Isc FAULT</v>
          </cell>
          <cell r="G6" t="str">
            <v>FR or
XLPE</v>
          </cell>
          <cell r="H6" t="str">
            <v>CABLE SIZE</v>
          </cell>
          <cell r="J6" t="str">
            <v>CPC
SIZE-</v>
          </cell>
          <cell r="K6" t="str">
            <v>CONNECTED LOAD - KW</v>
          </cell>
          <cell r="N6" t="str">
            <v>PROPOSED TYPE &amp; NO. OF
KWH METERS</v>
          </cell>
        </row>
        <row r="7">
          <cell r="A7" t="str">
            <v>FEEDER
DB No.</v>
          </cell>
          <cell r="B7" t="str">
            <v>TP</v>
          </cell>
          <cell r="C7" t="str">
            <v>ACB</v>
          </cell>
          <cell r="D7" t="str">
            <v>MCCB</v>
          </cell>
          <cell r="E7" t="str">
            <v>MCB</v>
          </cell>
          <cell r="F7" t="str">
            <v>DUTY
KA</v>
          </cell>
          <cell r="G7" t="str">
            <v>SWA/
LS0H</v>
          </cell>
          <cell r="H7" t="str">
            <v>2/4 X1C
mm^2</v>
          </cell>
          <cell r="I7" t="str">
            <v>2/3/4C
mm^2</v>
          </cell>
          <cell r="J7" t="str">
            <v>1c
mm^2</v>
          </cell>
          <cell r="K7" t="str">
            <v>R-PH
KW</v>
          </cell>
          <cell r="L7" t="str">
            <v>Y-PH
KW</v>
          </cell>
          <cell r="M7" t="str">
            <v>B-PH
KW</v>
          </cell>
          <cell r="N7" t="str">
            <v>1 - PH
(1)</v>
          </cell>
          <cell r="O7" t="str">
            <v>3 - PH
(2)</v>
          </cell>
          <cell r="P7" t="str">
            <v>3 - PH
(3)</v>
          </cell>
          <cell r="Q7" t="str">
            <v>LV/H
CT (4)</v>
          </cell>
          <cell r="R7" t="str">
            <v>REMARKS</v>
          </cell>
        </row>
        <row r="8">
          <cell r="A8" t="str">
            <v>INCOMER (NON AUTO)</v>
          </cell>
          <cell r="B8" t="str">
            <v>TP</v>
          </cell>
          <cell r="D8">
            <v>200</v>
          </cell>
          <cell r="F8">
            <v>36</v>
          </cell>
          <cell r="G8" t="str">
            <v>FR/SWA/ LSOH</v>
          </cell>
          <cell r="I8" t="str">
            <v>4c 150</v>
          </cell>
          <cell r="J8" t="str">
            <v>1c 70</v>
          </cell>
          <cell r="K8">
            <v>30.366666666666664</v>
          </cell>
          <cell r="L8">
            <v>29.866666666666664</v>
          </cell>
          <cell r="M8">
            <v>29.866666666666664</v>
          </cell>
        </row>
        <row r="9">
          <cell r="A9" t="str">
            <v>OUTGOING</v>
          </cell>
        </row>
        <row r="10">
          <cell r="A10" t="str">
            <v>SEF-R-LGM-1a</v>
          </cell>
          <cell r="B10" t="str">
            <v>TP</v>
          </cell>
          <cell r="D10">
            <v>63</v>
          </cell>
          <cell r="F10">
            <v>36</v>
          </cell>
          <cell r="G10" t="str">
            <v>FR/SWA/ LSOH</v>
          </cell>
          <cell r="I10" t="str">
            <v>3c 25</v>
          </cell>
          <cell r="J10" t="str">
            <v>1c 16</v>
          </cell>
          <cell r="K10">
            <v>7.4666666666666659</v>
          </cell>
          <cell r="L10">
            <v>7.4666666666666659</v>
          </cell>
          <cell r="M10">
            <v>7.4666666666666659</v>
          </cell>
          <cell r="R10" t="str">
            <v>100mA ELCB + SOFT STARTER</v>
          </cell>
        </row>
        <row r="11">
          <cell r="A11" t="str">
            <v>SEF-R-LGM-1b</v>
          </cell>
          <cell r="B11" t="str">
            <v>TP</v>
          </cell>
          <cell r="D11">
            <v>63</v>
          </cell>
          <cell r="F11">
            <v>36</v>
          </cell>
          <cell r="G11" t="str">
            <v>FR/SWA/ LSOH</v>
          </cell>
          <cell r="I11" t="str">
            <v>3c 25</v>
          </cell>
          <cell r="J11" t="str">
            <v>1c 16</v>
          </cell>
          <cell r="K11">
            <v>7.4666666666666659</v>
          </cell>
          <cell r="L11">
            <v>7.4666666666666659</v>
          </cell>
          <cell r="M11">
            <v>7.4666666666666659</v>
          </cell>
          <cell r="R11" t="str">
            <v>100mA ELCB + SOFT STARTER</v>
          </cell>
        </row>
        <row r="12">
          <cell r="A12" t="str">
            <v>SEF-R-LGM-1c</v>
          </cell>
          <cell r="B12" t="str">
            <v>TP</v>
          </cell>
          <cell r="D12">
            <v>63</v>
          </cell>
          <cell r="F12">
            <v>36</v>
          </cell>
          <cell r="G12" t="str">
            <v>FR/SWA/ LSOH</v>
          </cell>
          <cell r="I12" t="str">
            <v>3c 25</v>
          </cell>
          <cell r="J12" t="str">
            <v>1c 16</v>
          </cell>
          <cell r="K12">
            <v>7.4666666666666659</v>
          </cell>
          <cell r="L12">
            <v>7.4666666666666659</v>
          </cell>
          <cell r="M12">
            <v>7.4666666666666659</v>
          </cell>
          <cell r="R12" t="str">
            <v>100mA ELCB + SOFT STARTER</v>
          </cell>
        </row>
        <row r="13">
          <cell r="A13" t="str">
            <v>SEF-R-LGM-1d</v>
          </cell>
          <cell r="B13" t="str">
            <v>TP</v>
          </cell>
          <cell r="D13">
            <v>63</v>
          </cell>
          <cell r="F13">
            <v>36</v>
          </cell>
          <cell r="G13" t="str">
            <v>FR/SWA/ LSOH</v>
          </cell>
          <cell r="I13" t="str">
            <v>3c 25</v>
          </cell>
          <cell r="J13" t="str">
            <v>1c 16</v>
          </cell>
          <cell r="K13">
            <v>7.4666666666666659</v>
          </cell>
          <cell r="L13">
            <v>7.4666666666666659</v>
          </cell>
          <cell r="M13">
            <v>7.4666666666666659</v>
          </cell>
          <cell r="R13" t="str">
            <v>100mA ELCB + SOFT STARTER</v>
          </cell>
        </row>
        <row r="14">
          <cell r="A14" t="str">
            <v>CONTROLS</v>
          </cell>
          <cell r="B14" t="str">
            <v>SP</v>
          </cell>
          <cell r="D14">
            <v>10</v>
          </cell>
          <cell r="F14">
            <v>36</v>
          </cell>
          <cell r="G14" t="str">
            <v>FR/SWA/ LSOH</v>
          </cell>
          <cell r="I14" t="str">
            <v>2c 1.5</v>
          </cell>
          <cell r="K14">
            <v>0.5</v>
          </cell>
        </row>
        <row r="23">
          <cell r="A23" t="str">
            <v xml:space="preserve"> </v>
          </cell>
        </row>
        <row r="24">
          <cell r="A24" t="str">
            <v>CONNECTED TO :</v>
          </cell>
          <cell r="B24" t="str">
            <v>SB-M-LGM-3</v>
          </cell>
          <cell r="F24" t="str">
            <v>TOTAL CONNECTED LOAD PER PHASE</v>
          </cell>
          <cell r="K24">
            <v>30.366666666666664</v>
          </cell>
          <cell r="L24">
            <v>29.866666666666664</v>
          </cell>
          <cell r="M24">
            <v>29.866666666666664</v>
          </cell>
          <cell r="R24" t="str">
            <v>TOTAL</v>
          </cell>
        </row>
        <row r="27">
          <cell r="A27" t="str">
            <v xml:space="preserve">MAX. DEMAND (3 PH.):   </v>
          </cell>
          <cell r="B27">
            <v>90.1</v>
          </cell>
          <cell r="C27" t="str">
            <v>kW</v>
          </cell>
          <cell r="D27" t="str">
            <v xml:space="preserve">AT </v>
          </cell>
          <cell r="E27">
            <v>1</v>
          </cell>
          <cell r="F27" t="str">
            <v>DIVERSITY</v>
          </cell>
          <cell r="J27" t="str">
            <v xml:space="preserve">TOTAL CONNECTED LOAD(3 PH)   </v>
          </cell>
          <cell r="N27">
            <v>90.1</v>
          </cell>
          <cell r="O27" t="str">
            <v>kW</v>
          </cell>
        </row>
        <row r="30">
          <cell r="A30" t="str">
            <v>CONTRACTOR:</v>
          </cell>
          <cell r="K30" t="str">
            <v xml:space="preserve">TEL: </v>
          </cell>
          <cell r="O30" t="str">
            <v xml:space="preserve">FAX: </v>
          </cell>
        </row>
        <row r="32">
          <cell r="A32" t="str">
            <v>Type of Meter (Rating of Incomer):</v>
          </cell>
          <cell r="F32" t="str">
            <v>(1)  Upto 60A</v>
          </cell>
          <cell r="H32" t="str">
            <v>(2)  Upto 100 A</v>
          </cell>
          <cell r="K32" t="str">
            <v>(3)  125 - 160 A</v>
          </cell>
          <cell r="M32" t="str">
            <v>(4)  LV CT ..2500/5.......A</v>
          </cell>
          <cell r="Q32" t="str">
            <v>HV  CT .........../..........A</v>
          </cell>
        </row>
        <row r="33">
          <cell r="F33" t="str">
            <v xml:space="preserve">       (1 Phase)</v>
          </cell>
          <cell r="H33" t="str">
            <v xml:space="preserve">       (3 Phase)</v>
          </cell>
          <cell r="K33" t="str">
            <v xml:space="preserve">       </v>
          </cell>
        </row>
      </sheetData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/>
      <sheetData sheetId="131"/>
      <sheetData sheetId="132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SB_M_COVER"/>
      <sheetName val="LVSB_M_7"/>
      <sheetName val="MSB_M_7"/>
      <sheetName val="SBE_MC_2_2"/>
      <sheetName val="LMCP_JF_2_2"/>
      <sheetName val="LMCP_JF_2M_2"/>
      <sheetName val="LMCP_JF_3_2"/>
      <sheetName val="LMCP_JF_3_3"/>
      <sheetName val="LMCP_JF_4_1"/>
      <sheetName val="LMCP_JF_4_2"/>
      <sheetName val="LMCP_JF_5_1"/>
      <sheetName val="LMCP_JF_5_2"/>
      <sheetName val="LMCP_JF_5M_1"/>
      <sheetName val="LMCP_JF_5M_2"/>
      <sheetName val="LMCP_SEF_R_1_1"/>
      <sheetName val="LMCP_CEF_R_2_1 "/>
      <sheetName val="SB_MC_5M_1"/>
      <sheetName val="DB_MC_5M_1A _1_ "/>
      <sheetName val="DB_MC_5M_1A _2_  "/>
      <sheetName val="DB_MC_5M_1B _1_"/>
      <sheetName val="DB_MC_5M_1B _2_"/>
      <sheetName val="DB_MC_5M_1C"/>
      <sheetName val="DB_MC_5M_2A_1_"/>
      <sheetName val="DB_MC_5M_2A_2_"/>
      <sheetName val="DB_MC_5M_2B_1_"/>
      <sheetName val="DB_MC_5M_2B_2_ "/>
      <sheetName val="DB_MC_5M_2C_"/>
      <sheetName val="SB_MC_5_1"/>
      <sheetName val="DB_MC_5_1A_1_"/>
      <sheetName val="DB_MC_5_1A_2_"/>
      <sheetName val="DB_MC_5_1B_1_"/>
      <sheetName val="DB_MC_5_1B_2_"/>
      <sheetName val="DB_MC_5_2A_1_"/>
      <sheetName val="DB_MC_5_2A_2_ "/>
      <sheetName val="DB-MC-5-2B(1)"/>
      <sheetName val="DB-MC-5-2B(2)"/>
      <sheetName val="SB_MC_4_1"/>
      <sheetName val="DB_MC_4_1A_1_ "/>
      <sheetName val="DB_MC_4_1A_2_ "/>
      <sheetName val="DB_MC_4_1B_1_"/>
      <sheetName val="DB_MC_4_1B_2_"/>
      <sheetName val="DB_MC_4_2A_1_ "/>
      <sheetName val="DB_MC_4_2A_2_ "/>
      <sheetName val="DB_MC_4_2B_1_"/>
      <sheetName val="DB_MC_4_2B_2_"/>
      <sheetName val="SB_MC_3M_1"/>
      <sheetName val="DB_MC_3M_1A_1_ "/>
      <sheetName val="DB_MC_3M_1A_2_ "/>
      <sheetName val="DB_MC_3M_1B_1_"/>
      <sheetName val="DB_MC_3M_1B_2_"/>
      <sheetName val="DB_MC_3M_2A_1_"/>
      <sheetName val="DB_MC_3M_2A_2_"/>
      <sheetName val="DB_MC_3M_2B_1_"/>
      <sheetName val="DB_MC_3M_2B_2_"/>
      <sheetName val="SB_MC_3_1"/>
      <sheetName val="DB_MC_3_1A_1_ "/>
      <sheetName val="DB_MC_3_1A_2_ "/>
      <sheetName val="DB_MC_3_1B_1_"/>
      <sheetName val="DB_MC_3_1B_2_"/>
      <sheetName val="DB_MC_3_2A_1_"/>
      <sheetName val="DB_MC_3_2A_2_"/>
      <sheetName val="DB_MC_3_2B_1_ "/>
      <sheetName val="DB_MC_3_2B_2_ "/>
      <sheetName val="SB_MC_2_1"/>
      <sheetName val="DB_MC_G_1A _1_"/>
      <sheetName val="DB_MC_G_1A _2_"/>
      <sheetName val="DB_MC_1_1A_1_"/>
      <sheetName val="DB_MC_1_1A_2_"/>
      <sheetName val="DB_M_1_3_1_"/>
      <sheetName val="DB_M_1_3_2_"/>
      <sheetName val="DB_M_1_3_3_"/>
      <sheetName val="DB_MC_2_1A_1_ "/>
      <sheetName val="DB_MC_2_1A_2_   "/>
      <sheetName val="DB_MC_2_1B _1_"/>
      <sheetName val="DB_MC_2_1B _2_"/>
      <sheetName val="DB_MC_2_1B _3_"/>
      <sheetName val="LMCP_H-TX_LG"/>
      <sheetName val="LVSB_M_8"/>
      <sheetName val="MSB_M_8"/>
      <sheetName val="SBE_M_LG_2"/>
      <sheetName val="LMCP_AHU_R_LG_1"/>
      <sheetName val="LMCP_AHU_R_LG_2"/>
      <sheetName val="LMCP_AHU_R_1_1"/>
      <sheetName val="LMCP_AHU_R_1_2"/>
      <sheetName val="LMCP_PAU_R_3_1"/>
      <sheetName val="SBE_M_LGM_3"/>
      <sheetName val="LMCP_SEF_R_LGM_1"/>
      <sheetName val="SBE_MC_LGM_2"/>
      <sheetName val="LMCP_EF_R_LG_1"/>
      <sheetName val="LMCP_EF_R_LG_4"/>
      <sheetName val="LMCP_EF_R_LG_5"/>
      <sheetName val="SB_MC_B2_1"/>
      <sheetName val="DB_MC_B2_1A_1_"/>
      <sheetName val="DB_MC_B2_1A_2_"/>
      <sheetName val="DB_MC_B2_1B_1_"/>
      <sheetName val="DB_MC_B2_1B_2_"/>
      <sheetName val="DB_MC_B2_2A_1_"/>
      <sheetName val="DB_MC_B2_2A_2_"/>
      <sheetName val="DB_MC_B2_2B_1_"/>
      <sheetName val="DB_MC_B2_2B_2_"/>
      <sheetName val="LMCP_EF_R_B2_3"/>
      <sheetName val="SB_MC_B1_3 "/>
      <sheetName val="DB_MC_B2_3A_1_"/>
      <sheetName val="DB_MC_B2_3A_2_"/>
      <sheetName val="DB_MC_B2_3A_3_"/>
      <sheetName val="DB_MC_B2_3B_1_"/>
      <sheetName val="DB_MC_B2_3B_2_"/>
      <sheetName val="DB_MC_B2_3B_3_"/>
      <sheetName val="DB_MC_B1_3A_1_  "/>
      <sheetName val="DB_MC_B1_3A_2_"/>
      <sheetName val="DB_MC_B1_3B_1_"/>
      <sheetName val="DB_MC_B1_3B_2_"/>
      <sheetName val="DB_MC_B1_7"/>
      <sheetName val="DB_MC_B1_8"/>
      <sheetName val="SB_MC_B1_4"/>
      <sheetName val="DB_MC_B1_1A_1_"/>
      <sheetName val="DB_MC_B1_1A_2_"/>
      <sheetName val="DB_MC_B1_1B_1_"/>
      <sheetName val="DB_MC_B1_1B_2_"/>
      <sheetName val="DB_MC_B1_2A_1_"/>
      <sheetName val="DB_MC_B1_2A _2_"/>
      <sheetName val="DB_MC_B1_2A _3_"/>
      <sheetName val="DB_MC_B1_2B_1_"/>
      <sheetName val="DB_MC_B1_2B_2_"/>
      <sheetName val="DB_MC_LGM-1 (ADD'L)"/>
      <sheetName val="SB-WF-M-LG-M-1"/>
      <sheetName val="SB_M_G_1C"/>
      <sheetName val="LSB_MC_R_4"/>
      <sheetName val="LDB_M_R_4"/>
      <sheetName val="LDB-M-R-4"/>
      <sheetName val="LMCP_CEF_G_5"/>
      <sheetName val="LMCP_CEF_2_7 "/>
      <sheetName val="DB_MC_B2_1A_3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">
          <cell r="A1" t="str">
            <v>PROJECT: DUBAI MARINA MALL &amp; HOTEL/APARTMENTS</v>
          </cell>
          <cell r="I1" t="str">
            <v>DETAILS OF CONNECTED LOAD/ MAX. DEMAND</v>
          </cell>
          <cell r="J1" t="str">
            <v>EMAAR PROPERTIES PSJC</v>
          </cell>
          <cell r="O1" t="str">
            <v>AREA:</v>
          </cell>
          <cell r="Q1" t="str">
            <v>DUBAI,UNITED ARAB EMIRATES</v>
          </cell>
        </row>
        <row r="2">
          <cell r="A2" t="str">
            <v>PLANNED COMPLETION DATE:</v>
          </cell>
          <cell r="I2" t="str">
            <v>OWNER:</v>
          </cell>
          <cell r="J2" t="str">
            <v>EMAAR PROPERTIES PSJC</v>
          </cell>
          <cell r="O2" t="str">
            <v>AREA:</v>
          </cell>
          <cell r="Q2" t="str">
            <v>DUBAI,UNITED ARAB EMIRATES</v>
          </cell>
        </row>
        <row r="3">
          <cell r="E3" t="str">
            <v xml:space="preserve"> </v>
          </cell>
          <cell r="O3" t="str">
            <v xml:space="preserve"> LOCATION OF MCP: </v>
          </cell>
          <cell r="R3" t="str">
            <v>1ST FLOOR</v>
          </cell>
        </row>
        <row r="4">
          <cell r="A4" t="str">
            <v xml:space="preserve">MDB / SMDB </v>
          </cell>
          <cell r="B4" t="str">
            <v>LMCP-SEF-R-1-1 (TYPICAL TO LMCP-SEF-R-1-2)</v>
          </cell>
          <cell r="I4" t="str">
            <v>CONSULTANT:MEINHARDT SINGAPORE PTE LTD.</v>
          </cell>
          <cell r="O4" t="str">
            <v>LOCATION:</v>
          </cell>
          <cell r="Q4" t="str">
            <v>MARSA, DUBAI</v>
          </cell>
        </row>
        <row r="6">
          <cell r="A6" t="str">
            <v>CIRCUIT/</v>
          </cell>
          <cell r="B6" t="str">
            <v>SP/</v>
          </cell>
          <cell r="C6" t="str">
            <v>RATING - AMPS</v>
          </cell>
          <cell r="F6" t="str">
            <v>Isc FAULT</v>
          </cell>
          <cell r="G6" t="str">
            <v>FR or
XLPE</v>
          </cell>
          <cell r="H6" t="str">
            <v>CABLE SIZE</v>
          </cell>
          <cell r="J6" t="str">
            <v>CPC
SIZE-</v>
          </cell>
          <cell r="K6" t="str">
            <v>CONNECTED LOAD - KW</v>
          </cell>
          <cell r="N6" t="str">
            <v>PROPOSED TYPE &amp; NO. OF
KWH METERS</v>
          </cell>
        </row>
        <row r="7">
          <cell r="A7" t="str">
            <v>FEEDER
DB No.</v>
          </cell>
          <cell r="B7" t="str">
            <v>TP</v>
          </cell>
          <cell r="C7" t="str">
            <v>ACB</v>
          </cell>
          <cell r="D7" t="str">
            <v>MCCB</v>
          </cell>
          <cell r="E7" t="str">
            <v>MCB</v>
          </cell>
          <cell r="F7" t="str">
            <v>DUTY
KA</v>
          </cell>
          <cell r="G7" t="str">
            <v>SWA/
LS0H</v>
          </cell>
          <cell r="H7" t="str">
            <v>2/4 X1C
mm^2</v>
          </cell>
          <cell r="I7" t="str">
            <v>2/3/4C
mm^2</v>
          </cell>
          <cell r="J7" t="str">
            <v>1c
mm^2</v>
          </cell>
          <cell r="K7" t="str">
            <v>R-PH
KW</v>
          </cell>
          <cell r="L7" t="str">
            <v>Y-PH
KW</v>
          </cell>
          <cell r="M7" t="str">
            <v>B-PH
KW</v>
          </cell>
          <cell r="N7" t="str">
            <v>1 - PH
(1)</v>
          </cell>
          <cell r="O7" t="str">
            <v>3 - PH
(2)</v>
          </cell>
          <cell r="P7" t="str">
            <v>3 - PH
(3)</v>
          </cell>
          <cell r="Q7" t="str">
            <v>LV/H
CT (4)</v>
          </cell>
          <cell r="R7" t="str">
            <v>REMARKS</v>
          </cell>
        </row>
        <row r="8">
          <cell r="A8" t="str">
            <v>INCOMER (NON AUTO)</v>
          </cell>
          <cell r="B8" t="str">
            <v>TP</v>
          </cell>
          <cell r="D8">
            <v>250</v>
          </cell>
          <cell r="F8">
            <v>50</v>
          </cell>
          <cell r="G8" t="str">
            <v>FR/SWA/ LSOH</v>
          </cell>
          <cell r="I8" t="str">
            <v>4c 150</v>
          </cell>
          <cell r="J8" t="str">
            <v>1c 70</v>
          </cell>
          <cell r="K8">
            <v>41.646666666666668</v>
          </cell>
          <cell r="L8">
            <v>41.146666666666668</v>
          </cell>
          <cell r="M8">
            <v>41.146666666666668</v>
          </cell>
        </row>
        <row r="9">
          <cell r="A9" t="str">
            <v>OUTGOING</v>
          </cell>
        </row>
        <row r="10">
          <cell r="A10" t="str">
            <v>SEF-R-1-1a</v>
          </cell>
          <cell r="B10" t="str">
            <v>TP</v>
          </cell>
          <cell r="D10">
            <v>40</v>
          </cell>
          <cell r="F10">
            <v>36</v>
          </cell>
          <cell r="G10" t="str">
            <v>FR/SWA/ LSOH</v>
          </cell>
          <cell r="I10" t="str">
            <v>2 x 3c 10</v>
          </cell>
          <cell r="J10" t="str">
            <v>1c 10</v>
          </cell>
          <cell r="K10">
            <v>5.1433333333333335</v>
          </cell>
          <cell r="L10">
            <v>5.1433333333333335</v>
          </cell>
          <cell r="M10">
            <v>5.1433333333333335</v>
          </cell>
          <cell r="R10" t="str">
            <v>100mA ELCB + S/D STARTER</v>
          </cell>
        </row>
        <row r="11">
          <cell r="A11" t="str">
            <v>SEF-R-1-1b</v>
          </cell>
          <cell r="B11" t="str">
            <v>TP</v>
          </cell>
          <cell r="D11">
            <v>40</v>
          </cell>
          <cell r="F11">
            <v>36</v>
          </cell>
          <cell r="G11" t="str">
            <v>FR/SWA/ LSOH</v>
          </cell>
          <cell r="I11" t="str">
            <v>2 x 3c 10</v>
          </cell>
          <cell r="J11" t="str">
            <v>1c 10</v>
          </cell>
          <cell r="K11">
            <v>5.1433333333333335</v>
          </cell>
          <cell r="L11">
            <v>5.1433333333333335</v>
          </cell>
          <cell r="M11">
            <v>5.1433333333333335</v>
          </cell>
          <cell r="R11" t="str">
            <v>100mA ELCB + S/D STARTER</v>
          </cell>
        </row>
        <row r="12">
          <cell r="A12" t="str">
            <v>SEF-R-1-1c</v>
          </cell>
          <cell r="B12" t="str">
            <v>TP</v>
          </cell>
          <cell r="D12">
            <v>40</v>
          </cell>
          <cell r="F12">
            <v>36</v>
          </cell>
          <cell r="G12" t="str">
            <v>FR/SWA/ LSOH</v>
          </cell>
          <cell r="I12" t="str">
            <v>2 x 3c 10</v>
          </cell>
          <cell r="J12" t="str">
            <v>1c 10</v>
          </cell>
          <cell r="K12">
            <v>5.1433333333333335</v>
          </cell>
          <cell r="L12">
            <v>5.1433333333333335</v>
          </cell>
          <cell r="M12">
            <v>5.1433333333333335</v>
          </cell>
          <cell r="R12" t="str">
            <v>100mA ELCB + S/D STARTER</v>
          </cell>
        </row>
        <row r="13">
          <cell r="A13" t="str">
            <v>SEF-R-1-1d</v>
          </cell>
          <cell r="B13" t="str">
            <v>TP</v>
          </cell>
          <cell r="D13">
            <v>40</v>
          </cell>
          <cell r="F13">
            <v>36</v>
          </cell>
          <cell r="G13" t="str">
            <v>FR/SWA/ LSOH</v>
          </cell>
          <cell r="I13" t="str">
            <v>2 x 3c 10</v>
          </cell>
          <cell r="J13" t="str">
            <v>1c 10</v>
          </cell>
          <cell r="K13">
            <v>5.1433333333333335</v>
          </cell>
          <cell r="L13">
            <v>5.1433333333333335</v>
          </cell>
          <cell r="M13">
            <v>5.1433333333333335</v>
          </cell>
          <cell r="R13" t="str">
            <v>100mA ELCB + S/D STARTER</v>
          </cell>
        </row>
        <row r="14">
          <cell r="A14" t="str">
            <v>SEF-R-1-1e</v>
          </cell>
          <cell r="B14" t="str">
            <v>TP</v>
          </cell>
          <cell r="D14">
            <v>40</v>
          </cell>
          <cell r="F14">
            <v>36</v>
          </cell>
          <cell r="G14" t="str">
            <v>FR/SWA/ LSOH</v>
          </cell>
          <cell r="I14" t="str">
            <v>2 x 3c 10</v>
          </cell>
          <cell r="J14" t="str">
            <v>1c 10</v>
          </cell>
          <cell r="K14">
            <v>5.1433333333333335</v>
          </cell>
          <cell r="L14">
            <v>5.1433333333333335</v>
          </cell>
          <cell r="M14">
            <v>5.1433333333333335</v>
          </cell>
          <cell r="R14" t="str">
            <v>100mA ELCB + S/D STARTER</v>
          </cell>
        </row>
        <row r="15">
          <cell r="A15" t="str">
            <v>SEF-R-1-1f</v>
          </cell>
          <cell r="B15" t="str">
            <v>TP</v>
          </cell>
          <cell r="D15">
            <v>40</v>
          </cell>
          <cell r="F15">
            <v>36</v>
          </cell>
          <cell r="G15" t="str">
            <v>FR/SWA/ LSOH</v>
          </cell>
          <cell r="I15" t="str">
            <v>2 x 3c 10</v>
          </cell>
          <cell r="J15" t="str">
            <v>1c 10</v>
          </cell>
          <cell r="K15">
            <v>5.1433333333333335</v>
          </cell>
          <cell r="L15">
            <v>5.1433333333333335</v>
          </cell>
          <cell r="M15">
            <v>5.1433333333333335</v>
          </cell>
          <cell r="R15" t="str">
            <v>100mA ELCB + S/D STARTER</v>
          </cell>
        </row>
        <row r="16">
          <cell r="A16" t="str">
            <v>SEF-R-1-1g</v>
          </cell>
          <cell r="B16" t="str">
            <v>TP</v>
          </cell>
          <cell r="D16">
            <v>40</v>
          </cell>
          <cell r="F16">
            <v>36</v>
          </cell>
          <cell r="G16" t="str">
            <v>FR/SWA/ LSOH</v>
          </cell>
          <cell r="I16" t="str">
            <v>2 x 3c 10</v>
          </cell>
          <cell r="J16" t="str">
            <v>1c 10</v>
          </cell>
          <cell r="K16">
            <v>5.1433333333333335</v>
          </cell>
          <cell r="L16">
            <v>5.1433333333333335</v>
          </cell>
          <cell r="M16">
            <v>5.1433333333333335</v>
          </cell>
          <cell r="R16" t="str">
            <v>100mA ELCB + S/D STARTER</v>
          </cell>
        </row>
        <row r="17">
          <cell r="A17" t="str">
            <v>SEF-R-1-1h</v>
          </cell>
          <cell r="B17" t="str">
            <v>TP</v>
          </cell>
          <cell r="D17">
            <v>40</v>
          </cell>
          <cell r="F17">
            <v>36</v>
          </cell>
          <cell r="G17" t="str">
            <v>FR/SWA/ LSOH</v>
          </cell>
          <cell r="I17" t="str">
            <v>2 x 3c 10</v>
          </cell>
          <cell r="J17" t="str">
            <v>1c 10</v>
          </cell>
          <cell r="K17">
            <v>5.1433333333333335</v>
          </cell>
          <cell r="L17">
            <v>5.1433333333333335</v>
          </cell>
          <cell r="M17">
            <v>5.1433333333333335</v>
          </cell>
          <cell r="R17" t="str">
            <v>100mA ELCB + S/D STARTER</v>
          </cell>
        </row>
        <row r="18">
          <cell r="A18" t="str">
            <v>CONTROLS</v>
          </cell>
          <cell r="B18" t="str">
            <v>SP</v>
          </cell>
          <cell r="D18">
            <v>10</v>
          </cell>
          <cell r="F18">
            <v>36</v>
          </cell>
          <cell r="G18" t="str">
            <v>FR/SWA/ LSOH</v>
          </cell>
          <cell r="I18" t="str">
            <v>2c 1.5</v>
          </cell>
          <cell r="K18">
            <v>0.5</v>
          </cell>
        </row>
        <row r="22">
          <cell r="A22" t="str">
            <v xml:space="preserve"> </v>
          </cell>
        </row>
        <row r="23">
          <cell r="A23" t="str">
            <v>CONNECTED TO :</v>
          </cell>
          <cell r="B23" t="str">
            <v>MSB-M-7</v>
          </cell>
          <cell r="F23" t="str">
            <v>TOTAL CONNECTED LOAD PER PHASE</v>
          </cell>
          <cell r="K23">
            <v>41.646666666666668</v>
          </cell>
          <cell r="L23">
            <v>41.146666666666668</v>
          </cell>
          <cell r="M23">
            <v>41.146666666666668</v>
          </cell>
          <cell r="R23" t="str">
            <v>TOTAL</v>
          </cell>
        </row>
        <row r="26">
          <cell r="A26" t="str">
            <v xml:space="preserve">MAX. DEMAND (3 PH.):   </v>
          </cell>
          <cell r="B26">
            <v>123.94</v>
          </cell>
          <cell r="C26" t="str">
            <v>kW</v>
          </cell>
          <cell r="D26" t="str">
            <v xml:space="preserve">AT </v>
          </cell>
          <cell r="E26">
            <v>1</v>
          </cell>
          <cell r="F26" t="str">
            <v>DIVERSITY</v>
          </cell>
          <cell r="J26" t="str">
            <v xml:space="preserve">TOTAL CONNECTED LOAD(3 PH)   </v>
          </cell>
          <cell r="N26">
            <v>123.94</v>
          </cell>
          <cell r="O26" t="str">
            <v>kW</v>
          </cell>
        </row>
        <row r="29">
          <cell r="A29" t="str">
            <v>CONTRACTOR:</v>
          </cell>
          <cell r="K29" t="str">
            <v xml:space="preserve">TEL: </v>
          </cell>
          <cell r="O29" t="str">
            <v xml:space="preserve">FAX: </v>
          </cell>
        </row>
        <row r="31">
          <cell r="A31" t="str">
            <v>Type of Meter (Rating of Incomer):</v>
          </cell>
          <cell r="F31" t="str">
            <v>(1)  Upto 60A</v>
          </cell>
          <cell r="H31" t="str">
            <v>(2)  Upto 100 A</v>
          </cell>
          <cell r="K31" t="str">
            <v>(3)  125 - 160 A</v>
          </cell>
          <cell r="M31" t="str">
            <v>(4)  LV CT ..2500/5.......A</v>
          </cell>
          <cell r="Q31" t="str">
            <v>HV  CT .........../..........A</v>
          </cell>
        </row>
        <row r="32">
          <cell r="F32" t="str">
            <v xml:space="preserve">       (1 Phase)</v>
          </cell>
          <cell r="H32" t="str">
            <v xml:space="preserve">       (3 Phase)</v>
          </cell>
          <cell r="K32" t="str">
            <v xml:space="preserve">       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>
        <row r="1">
          <cell r="A1" t="str">
            <v>PROJECT: DUBAI MARINA MALL &amp; HOTEL/APARTMENTS</v>
          </cell>
          <cell r="I1" t="str">
            <v>DETAILS OF CONNECTED LOAD/ MAX. DEMAND</v>
          </cell>
          <cell r="J1" t="str">
            <v>EMAAR PROPERTIES PSJC</v>
          </cell>
          <cell r="O1" t="str">
            <v>AREA:</v>
          </cell>
          <cell r="Q1" t="str">
            <v>DUBAI,UNITED ARAB EMIRATES</v>
          </cell>
        </row>
        <row r="2">
          <cell r="A2" t="str">
            <v>PLANNED COMPLETION DATE:</v>
          </cell>
          <cell r="I2" t="str">
            <v>OWNER:</v>
          </cell>
          <cell r="J2" t="str">
            <v>EMAAR PROPERTIES PSJC</v>
          </cell>
          <cell r="O2" t="str">
            <v>AREA:</v>
          </cell>
          <cell r="Q2" t="str">
            <v>DUBAI,UNITED ARAB EMIRATES</v>
          </cell>
        </row>
        <row r="3">
          <cell r="E3" t="str">
            <v xml:space="preserve"> </v>
          </cell>
          <cell r="O3" t="str">
            <v xml:space="preserve"> LOCATION OF MCP: </v>
          </cell>
          <cell r="R3" t="str">
            <v>LOWER GROUND MEZZ.</v>
          </cell>
        </row>
        <row r="4">
          <cell r="A4" t="str">
            <v xml:space="preserve">MDB / SMDB </v>
          </cell>
          <cell r="B4" t="str">
            <v>LMCP-AHU-R-LG-1</v>
          </cell>
          <cell r="I4" t="str">
            <v>CONSULTANT:MEINHARDT SINGAPORE PTE LTD.</v>
          </cell>
          <cell r="O4" t="str">
            <v>LOCATION:</v>
          </cell>
          <cell r="Q4" t="str">
            <v>MARSA, DUBAI</v>
          </cell>
        </row>
        <row r="6">
          <cell r="A6" t="str">
            <v>CIRCUIT/</v>
          </cell>
          <cell r="B6" t="str">
            <v>SP/</v>
          </cell>
          <cell r="C6" t="str">
            <v>RATING - AMPS</v>
          </cell>
          <cell r="F6" t="str">
            <v>Isc FAULT</v>
          </cell>
          <cell r="G6" t="str">
            <v>FR or
XLPE</v>
          </cell>
          <cell r="H6" t="str">
            <v>CABLE SIZE</v>
          </cell>
          <cell r="J6" t="str">
            <v>CPC
SIZE-</v>
          </cell>
          <cell r="K6" t="str">
            <v>CONNECTED LOAD - KW</v>
          </cell>
          <cell r="N6" t="str">
            <v>PROPOSED TYPE &amp; NO. OF
KWH METERS</v>
          </cell>
        </row>
        <row r="7">
          <cell r="A7" t="str">
            <v>FEEDER
DB No.</v>
          </cell>
          <cell r="B7" t="str">
            <v>TP</v>
          </cell>
          <cell r="C7" t="str">
            <v>ACB</v>
          </cell>
          <cell r="D7" t="str">
            <v>MCCB</v>
          </cell>
          <cell r="E7" t="str">
            <v>MCB</v>
          </cell>
          <cell r="F7" t="str">
            <v>DUTY
KA</v>
          </cell>
          <cell r="G7" t="str">
            <v>SWA/
LS0H</v>
          </cell>
          <cell r="H7" t="str">
            <v>2/4 X1C
mm^2</v>
          </cell>
          <cell r="I7" t="str">
            <v>2/3/4C
mm^2</v>
          </cell>
          <cell r="J7" t="str">
            <v>1c
mm^2</v>
          </cell>
          <cell r="K7" t="str">
            <v>R-PH
KW</v>
          </cell>
          <cell r="L7" t="str">
            <v>Y-PH
KW</v>
          </cell>
          <cell r="M7" t="str">
            <v>B-PH
KW</v>
          </cell>
          <cell r="N7" t="str">
            <v>1 - PH
(1)</v>
          </cell>
          <cell r="O7" t="str">
            <v>3 - PH
(2)</v>
          </cell>
          <cell r="P7" t="str">
            <v>3 - PH
(3)</v>
          </cell>
          <cell r="Q7" t="str">
            <v>LV/H
CT (4)</v>
          </cell>
          <cell r="R7" t="str">
            <v>REMARKS</v>
          </cell>
        </row>
        <row r="8">
          <cell r="A8" t="str">
            <v>INCOMER (NON AUTO)</v>
          </cell>
          <cell r="B8" t="str">
            <v>TP</v>
          </cell>
          <cell r="D8">
            <v>125</v>
          </cell>
          <cell r="F8">
            <v>36</v>
          </cell>
          <cell r="G8" t="str">
            <v>FR/SWA/ LSOH</v>
          </cell>
          <cell r="I8" t="str">
            <v>4c 70</v>
          </cell>
          <cell r="J8" t="str">
            <v>1c 35</v>
          </cell>
          <cell r="K8">
            <v>19.566666666666666</v>
          </cell>
          <cell r="L8">
            <v>19.066666666666666</v>
          </cell>
          <cell r="M8">
            <v>19.066666666666666</v>
          </cell>
        </row>
        <row r="9">
          <cell r="A9" t="str">
            <v>OUTGOING</v>
          </cell>
        </row>
        <row r="10">
          <cell r="A10" t="str">
            <v>AHU-R-LG-1</v>
          </cell>
          <cell r="B10" t="str">
            <v>TP</v>
          </cell>
          <cell r="D10">
            <v>125</v>
          </cell>
          <cell r="F10">
            <v>36</v>
          </cell>
          <cell r="G10" t="str">
            <v>FR/SWA/ LSOH</v>
          </cell>
          <cell r="I10" t="str">
            <v>3c 70</v>
          </cell>
          <cell r="J10" t="str">
            <v>1c 35</v>
          </cell>
          <cell r="K10">
            <v>19.066666666666666</v>
          </cell>
          <cell r="L10">
            <v>19.066666666666666</v>
          </cell>
          <cell r="M10">
            <v>19.066666666666666</v>
          </cell>
          <cell r="R10" t="str">
            <v>100mA ELCB + SOFT STARTER</v>
          </cell>
        </row>
        <row r="11">
          <cell r="A11" t="str">
            <v>CONTROLS</v>
          </cell>
          <cell r="B11" t="str">
            <v>SP</v>
          </cell>
          <cell r="D11">
            <v>10</v>
          </cell>
          <cell r="F11">
            <v>36</v>
          </cell>
          <cell r="G11" t="str">
            <v>FR/SWA/ LSOH</v>
          </cell>
          <cell r="I11" t="str">
            <v>2c 1.5</v>
          </cell>
          <cell r="K11">
            <v>0.5</v>
          </cell>
        </row>
        <row r="22">
          <cell r="A22" t="str">
            <v xml:space="preserve"> </v>
          </cell>
        </row>
        <row r="23">
          <cell r="A23" t="str">
            <v>CONNECTED TO :</v>
          </cell>
          <cell r="B23" t="str">
            <v>SBE-M-LG-2</v>
          </cell>
          <cell r="F23" t="str">
            <v>TOTAL CONNECTED LOAD PER PHASE</v>
          </cell>
          <cell r="K23">
            <v>19.566666666666666</v>
          </cell>
          <cell r="L23">
            <v>19.066666666666666</v>
          </cell>
          <cell r="M23">
            <v>19.066666666666666</v>
          </cell>
          <cell r="R23" t="str">
            <v>TOTAL</v>
          </cell>
        </row>
        <row r="26">
          <cell r="A26" t="str">
            <v xml:space="preserve">MAX. DEMAND (3 PH.):   </v>
          </cell>
          <cell r="B26">
            <v>57.7</v>
          </cell>
          <cell r="C26" t="str">
            <v>kW</v>
          </cell>
          <cell r="D26" t="str">
            <v xml:space="preserve">AT </v>
          </cell>
          <cell r="E26">
            <v>1</v>
          </cell>
          <cell r="F26" t="str">
            <v>DIVERSITY</v>
          </cell>
          <cell r="J26" t="str">
            <v xml:space="preserve">TOTAL CONNECTED LOAD(3 PH)   </v>
          </cell>
          <cell r="N26">
            <v>57.7</v>
          </cell>
          <cell r="O26" t="str">
            <v>kW</v>
          </cell>
        </row>
        <row r="29">
          <cell r="A29" t="str">
            <v>CONTRACTOR:</v>
          </cell>
          <cell r="K29" t="str">
            <v xml:space="preserve">TEL: </v>
          </cell>
          <cell r="O29" t="str">
            <v xml:space="preserve">FAX: </v>
          </cell>
        </row>
        <row r="31">
          <cell r="A31" t="str">
            <v>Type of Meter (Rating of Incomer):</v>
          </cell>
          <cell r="F31" t="str">
            <v>(1)  Upto 60A</v>
          </cell>
          <cell r="H31" t="str">
            <v>(2)  Upto 100 A</v>
          </cell>
          <cell r="K31" t="str">
            <v>(3)  125 - 160 A</v>
          </cell>
          <cell r="M31" t="str">
            <v>(4)  LV CT ..2500/5.......A</v>
          </cell>
          <cell r="Q31" t="str">
            <v>HV  CT .........../..........A</v>
          </cell>
        </row>
        <row r="32">
          <cell r="F32" t="str">
            <v xml:space="preserve">       (1 Phase)</v>
          </cell>
          <cell r="H32" t="str">
            <v xml:space="preserve">       (3 Phase)</v>
          </cell>
          <cell r="K32" t="str">
            <v xml:space="preserve">       </v>
          </cell>
        </row>
      </sheetData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/>
      <sheetData sheetId="131"/>
      <sheetData sheetId="132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SB_H_COVER"/>
      <sheetName val="LVSB_H_3"/>
      <sheetName val="MSB_H_3"/>
      <sheetName val="SBE_H_10_1"/>
      <sheetName val="DBE_H_10_1_1_"/>
      <sheetName val="DBE_H_10_1_2_"/>
      <sheetName val="DBE_H_10_2_1_"/>
      <sheetName val="DBE_H_10_2_2_"/>
      <sheetName val="DBE_H_11_1_1_"/>
      <sheetName val="DBE_H_11_1_2_"/>
      <sheetName val="DBE_H_11_2_1_"/>
      <sheetName val="DBE_H_11_2_2_"/>
      <sheetName val="DBE_H_12_1 _1_"/>
      <sheetName val="DBE_H_12_1 _2_"/>
      <sheetName val="CBS_H_12_1_"/>
      <sheetName val="DBE_H_12_2_1_"/>
      <sheetName val="DBE_H_12_2_2_"/>
      <sheetName val="DBE_H_13_1 _1_"/>
      <sheetName val="DBE_H_13_1 _2_"/>
      <sheetName val="DBE_H_13_2 _1_"/>
      <sheetName val="DBE_H_13_2 _2_"/>
      <sheetName val="DBE_H_13M_1 _1_"/>
      <sheetName val="DBE_H_13M_1 _2_"/>
      <sheetName val="SBE_H_5_1"/>
      <sheetName val="DBE_H_5_1 _1_"/>
      <sheetName val="DBE_H_5_1 _2_"/>
      <sheetName val="DBE_H_6_1 _1_"/>
      <sheetName val="DBE_H_6_1 _2_"/>
      <sheetName val="CBS_H_6_1_"/>
      <sheetName val="CBS_H_6_2_"/>
      <sheetName val="DBE_H_6_2 _1_"/>
      <sheetName val="DBE_H_6_2 _2_"/>
      <sheetName val="DBE_H_7_1 _1_"/>
      <sheetName val="DBE_H_7_1 _2_"/>
      <sheetName val="DBE_H_7_2 _1_"/>
      <sheetName val="DBE_H_7_2 _2_"/>
      <sheetName val="DBE_H_7_3_1_"/>
      <sheetName val="DBE_H_8_1 _1_"/>
      <sheetName val="DBE_H_8_1 _2_"/>
      <sheetName val="DBE_H_8_2 _1_"/>
      <sheetName val="DBE_H_8_2 _2_"/>
      <sheetName val="DBE_H_9_1 _1_"/>
      <sheetName val="DBE_H_9_1 _2_"/>
      <sheetName val="CBS_H_9_1_"/>
      <sheetName val="DBE_H_9_2_1_"/>
      <sheetName val="DBE_H_9_2_2_"/>
      <sheetName val="SBE_H_G_4"/>
      <sheetName val="DBE_H_G_1_1_"/>
      <sheetName val="DBE_H_G_1_2_"/>
      <sheetName val="CBS_H_G _1_"/>
      <sheetName val="CBS_H_G _2_"/>
      <sheetName val="CBS_HC_G"/>
      <sheetName val="DBE_H_1_1_1_"/>
      <sheetName val="DBE_H_2_1_1_"/>
      <sheetName val="DBE_H_2_1_2_"/>
      <sheetName val="DBE_H_2_1_3_"/>
      <sheetName val="CBS_HC_3"/>
      <sheetName val="DBE_H_3_1_1_"/>
      <sheetName val="DBE_H_3_1_2_"/>
      <sheetName val="DBE_H_3_1_3_"/>
      <sheetName val="CBS_H_3_1_"/>
      <sheetName val="CBS_H_3_2_"/>
      <sheetName val="DBE_H_4_1_1_"/>
      <sheetName val="MCPE_H_G_1"/>
      <sheetName val="LMCP_SVF_H_G_1"/>
      <sheetName val="LMCP_SPF_H_G_2"/>
      <sheetName val="SBE_H_B2_1"/>
      <sheetName val="LMCP_TEP_HA_B2_1 _ 1a"/>
      <sheetName val="LMCP_TEP_HA_B2_2 _ 2a"/>
      <sheetName val="LMCP_KEP_HA_B2_1 _ 1a"/>
      <sheetName val="LMCP_TP_HA_B2_1 _ 1a"/>
      <sheetName val="LMCP_TP_HA_B2_2 _ 2a"/>
      <sheetName val="LMCP_HRP_H_B2_1 _ 1a"/>
      <sheetName val="LMCP_HRP_H_B2_2 _ 2a"/>
      <sheetName val="LMCP_HRP_H_B2_3 _ 3a"/>
      <sheetName val="LMCP_FWP_H_B2_1 _ 1a"/>
      <sheetName val="LMCP_FWP_H_B2_2 _ 2a"/>
      <sheetName val="LMCP_FP_HA_L6_1  _DUTY_"/>
      <sheetName val="LMCP_FP_HA_L6_ 1a _STANDBY_"/>
      <sheetName val="LMCP_JP_HA_L6_1"/>
      <sheetName val="SB_H_G_2"/>
      <sheetName val="LMCP_AHU_H_G_1"/>
      <sheetName val="LMCP_AHU_H_G_2"/>
      <sheetName val="LMCP_AHU_H_2_2"/>
      <sheetName val="LMCP_AHU_H_2_5"/>
      <sheetName val="LMCP_EF_AHU-H-3-1"/>
      <sheetName val="MCP_H_1_1"/>
      <sheetName val="LMCP_AHU_H_1_1"/>
      <sheetName val="LMCP_EF_AHU_H_1_2"/>
      <sheetName val="LMCP_AHU_H_1_3"/>
      <sheetName val="LMCP_PAU_KEF_H_1_2"/>
      <sheetName val="MCP_H_LG_1"/>
      <sheetName val="LMCP_AHU_H_LG_1"/>
      <sheetName val="LMCP_EF_AHU_H_LG_2"/>
      <sheetName val="LMCP_AHU_H_LGM_1"/>
      <sheetName val="LMCP_EF_AHU_H_LGM_2"/>
      <sheetName val="LMCP_EF_AHU_H_LG_3"/>
      <sheetName val="LMCP_AHU_H_LGM_3"/>
      <sheetName val="LMCP_PAU_H_B2_B1_1"/>
      <sheetName val="LMCP_PAU_KEF_H_LGM_1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>
        <row r="2">
          <cell r="B2" t="str">
            <v>PROJECT: DUBAI MARINA MALL &amp; HOTEL/APARTMENT</v>
          </cell>
          <cell r="J2" t="str">
            <v>OWNER:</v>
          </cell>
          <cell r="K2" t="str">
            <v>EMAAR PROPERTIES PSJC</v>
          </cell>
          <cell r="P2" t="str">
            <v>AREA:</v>
          </cell>
          <cell r="R2" t="str">
            <v>DUBAI,UNITED ARAB EMIRATES</v>
          </cell>
        </row>
        <row r="3">
          <cell r="B3" t="str">
            <v>PLANNED COMPLETION DATE:</v>
          </cell>
          <cell r="J3" t="str">
            <v>CONSULTANT: MEINHARDT SINGAPORE PTE LTD.</v>
          </cell>
          <cell r="P3" t="str">
            <v>PLOT NO.:</v>
          </cell>
          <cell r="R3" t="str">
            <v>392-479</v>
          </cell>
        </row>
        <row r="4">
          <cell r="F4" t="str">
            <v xml:space="preserve"> </v>
          </cell>
        </row>
        <row r="5">
          <cell r="B5" t="str">
            <v xml:space="preserve">MDB / SMDB </v>
          </cell>
          <cell r="C5" t="str">
            <v>LMCP-FP-HA-L6-1 (DUTY)</v>
          </cell>
          <cell r="J5" t="str">
            <v>LOCATION OF LMCP:  6TH FLOOR</v>
          </cell>
          <cell r="P5" t="str">
            <v>LOCATION:</v>
          </cell>
          <cell r="R5" t="str">
            <v>MARSA, DUBAI</v>
          </cell>
        </row>
        <row r="7">
          <cell r="B7" t="str">
            <v>CIRCUIT/</v>
          </cell>
          <cell r="C7" t="str">
            <v>SP/</v>
          </cell>
          <cell r="D7" t="str">
            <v>RATING - AMPS</v>
          </cell>
          <cell r="G7" t="str">
            <v>Isc FAULT</v>
          </cell>
          <cell r="H7" t="str">
            <v>FR or
XLPE</v>
          </cell>
          <cell r="I7" t="str">
            <v>CABLE SIZE</v>
          </cell>
          <cell r="K7" t="str">
            <v>CPC
SIZE-</v>
          </cell>
          <cell r="L7" t="str">
            <v>CONNECTED LOAD - KW</v>
          </cell>
          <cell r="O7" t="str">
            <v>PROPOSED TYPE &amp; NO. OF
KWH METERS</v>
          </cell>
        </row>
        <row r="8">
          <cell r="B8" t="str">
            <v>FEEDER
DB No.</v>
          </cell>
          <cell r="C8" t="str">
            <v>TP</v>
          </cell>
          <cell r="D8" t="str">
            <v>ACB</v>
          </cell>
          <cell r="E8" t="str">
            <v>MCCB</v>
          </cell>
          <cell r="F8" t="str">
            <v>MCB</v>
          </cell>
          <cell r="G8" t="str">
            <v>DUTY
KA</v>
          </cell>
          <cell r="H8" t="str">
            <v>SWA/
LS0H</v>
          </cell>
          <cell r="I8" t="str">
            <v>2/4 X1C
mm^2</v>
          </cell>
          <cell r="J8" t="str">
            <v>2/3/4C
mm^2</v>
          </cell>
          <cell r="K8" t="str">
            <v>1c
mm^2</v>
          </cell>
          <cell r="L8" t="str">
            <v>R-PH
KW</v>
          </cell>
          <cell r="M8" t="str">
            <v>Y-PH
KW</v>
          </cell>
          <cell r="N8" t="str">
            <v>B-PH
KW</v>
          </cell>
          <cell r="O8" t="str">
            <v>1 - PH
(1)</v>
          </cell>
          <cell r="P8" t="str">
            <v>3 - PH
(2)</v>
          </cell>
          <cell r="Q8" t="str">
            <v>3 - PH
(3)</v>
          </cell>
          <cell r="R8" t="str">
            <v>LV/H
CT (4)</v>
          </cell>
          <cell r="S8" t="str">
            <v>REMARKS</v>
          </cell>
        </row>
        <row r="9">
          <cell r="B9" t="str">
            <v>INCOMER (NON AUTO)</v>
          </cell>
          <cell r="C9" t="str">
            <v>TP</v>
          </cell>
          <cell r="E9">
            <v>400</v>
          </cell>
          <cell r="G9">
            <v>50</v>
          </cell>
          <cell r="H9" t="str">
            <v>FR/SWA/ LSOH</v>
          </cell>
          <cell r="J9" t="str">
            <v>4c 300</v>
          </cell>
          <cell r="K9" t="str">
            <v>1c 150</v>
          </cell>
          <cell r="L9">
            <v>62.166666666666664</v>
          </cell>
          <cell r="M9">
            <v>62.666666666666664</v>
          </cell>
          <cell r="N9">
            <v>62.166666666666664</v>
          </cell>
        </row>
        <row r="10">
          <cell r="B10" t="str">
            <v>OUTGOING</v>
          </cell>
        </row>
        <row r="11">
          <cell r="B11" t="str">
            <v>FIRE PUMP (DUTY)</v>
          </cell>
          <cell r="C11" t="str">
            <v>TP</v>
          </cell>
          <cell r="E11">
            <v>400</v>
          </cell>
          <cell r="G11">
            <v>36</v>
          </cell>
          <cell r="H11" t="str">
            <v>FR/SWA/ LSOH</v>
          </cell>
          <cell r="J11" t="str">
            <v>2x3c 150</v>
          </cell>
          <cell r="K11" t="str">
            <v>1c 150</v>
          </cell>
          <cell r="L11">
            <v>62.166666666666664</v>
          </cell>
          <cell r="M11">
            <v>62.166666666666664</v>
          </cell>
          <cell r="N11">
            <v>62.166666666666664</v>
          </cell>
          <cell r="S11" t="str">
            <v>100mA ELCB + SOFT STARTER</v>
          </cell>
        </row>
        <row r="12">
          <cell r="B12" t="str">
            <v>CONTROLS</v>
          </cell>
          <cell r="C12" t="str">
            <v>SP</v>
          </cell>
          <cell r="E12">
            <v>10</v>
          </cell>
          <cell r="G12">
            <v>36</v>
          </cell>
          <cell r="H12" t="str">
            <v>FR/SWA/ LSOH</v>
          </cell>
          <cell r="J12" t="str">
            <v>2c 1.5</v>
          </cell>
          <cell r="M12">
            <v>0.5</v>
          </cell>
        </row>
        <row r="25">
          <cell r="B25" t="str">
            <v>CONNECTED TO :</v>
          </cell>
          <cell r="C25" t="str">
            <v>MSB-H-3</v>
          </cell>
          <cell r="G25" t="str">
            <v>TOTAL CONNECTED LOAD PER PHASE</v>
          </cell>
          <cell r="L25">
            <v>62.166666666666664</v>
          </cell>
          <cell r="M25">
            <v>62.666666666666664</v>
          </cell>
          <cell r="N25">
            <v>62.166666666666664</v>
          </cell>
          <cell r="S25" t="str">
            <v>TOTAL</v>
          </cell>
        </row>
        <row r="26">
          <cell r="B26" t="str">
            <v xml:space="preserve">MAX. DEMAND (3 PH.):   </v>
          </cell>
          <cell r="C26">
            <v>187</v>
          </cell>
          <cell r="D26" t="str">
            <v>kW</v>
          </cell>
          <cell r="E26" t="str">
            <v xml:space="preserve">AT </v>
          </cell>
          <cell r="F26">
            <v>1</v>
          </cell>
          <cell r="G26" t="str">
            <v>DIVERSITY</v>
          </cell>
          <cell r="N26" t="str">
            <v xml:space="preserve">TOTAL CONNECTED LOAD(3 PH)   </v>
          </cell>
          <cell r="O26">
            <v>187</v>
          </cell>
          <cell r="P26" t="str">
            <v>kW</v>
          </cell>
        </row>
        <row r="28">
          <cell r="B28" t="str">
            <v>CONTRACTOR:</v>
          </cell>
          <cell r="L28" t="str">
            <v xml:space="preserve">TEL: </v>
          </cell>
          <cell r="P28" t="str">
            <v xml:space="preserve">FAX: </v>
          </cell>
        </row>
        <row r="30">
          <cell r="B30" t="str">
            <v>Type of Meter (Rating of Incomer):</v>
          </cell>
          <cell r="G30" t="str">
            <v>(1)  Upto 60A</v>
          </cell>
          <cell r="I30" t="str">
            <v>(2)  Upto 100 A</v>
          </cell>
          <cell r="L30" t="str">
            <v>(3)  125 - 160 A</v>
          </cell>
          <cell r="N30" t="str">
            <v>(4)  LV CT ..2500/5.......A</v>
          </cell>
          <cell r="R30" t="str">
            <v>HV  CT .........../..........A</v>
          </cell>
        </row>
        <row r="31">
          <cell r="G31" t="str">
            <v xml:space="preserve">       (1 Phase)</v>
          </cell>
          <cell r="I31" t="str">
            <v xml:space="preserve">       (3 Phase)</v>
          </cell>
          <cell r="L31" t="str">
            <v xml:space="preserve">       </v>
          </cell>
        </row>
      </sheetData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R50"/>
  <sheetViews>
    <sheetView view="pageBreakPreview" zoomScale="85" zoomScaleNormal="100" zoomScaleSheetLayoutView="85" workbookViewId="0">
      <selection activeCell="A13" sqref="A13"/>
    </sheetView>
  </sheetViews>
  <sheetFormatPr defaultRowHeight="12.75" x14ac:dyDescent="0.2"/>
  <cols>
    <col min="1" max="1" width="9.140625" style="68"/>
    <col min="2" max="2" width="28.5703125" style="68" customWidth="1"/>
    <col min="3" max="6" width="9.140625" style="68"/>
    <col min="7" max="7" width="15.42578125" style="68" customWidth="1"/>
    <col min="8" max="9" width="9.140625" style="68"/>
    <col min="10" max="10" width="9.42578125" style="68" bestFit="1" customWidth="1"/>
    <col min="11" max="17" width="9.140625" style="68"/>
    <col min="18" max="18" width="12.28515625" style="68" customWidth="1"/>
    <col min="19" max="16384" width="9.140625" style="68"/>
  </cols>
  <sheetData>
    <row r="1" spans="1:18" ht="15" x14ac:dyDescent="0.2">
      <c r="A1" s="66"/>
      <c r="B1" s="67"/>
      <c r="C1" s="67"/>
      <c r="D1" s="67"/>
      <c r="E1" s="67"/>
      <c r="F1" s="67"/>
      <c r="G1" s="67"/>
      <c r="H1" s="67"/>
      <c r="I1" s="67"/>
      <c r="J1" s="67"/>
      <c r="K1" s="67"/>
      <c r="L1" s="295"/>
      <c r="M1" s="296"/>
      <c r="N1" s="296"/>
      <c r="O1" s="296"/>
      <c r="P1" s="296"/>
      <c r="Q1" s="296"/>
      <c r="R1" s="297"/>
    </row>
    <row r="2" spans="1:18" ht="15" x14ac:dyDescent="0.2">
      <c r="A2" s="298" t="s">
        <v>237</v>
      </c>
      <c r="B2" s="299"/>
      <c r="C2" s="299"/>
      <c r="D2" s="299"/>
      <c r="E2" s="299"/>
      <c r="F2" s="291" t="s">
        <v>93</v>
      </c>
      <c r="G2" s="291"/>
      <c r="H2" s="291"/>
      <c r="I2" s="291"/>
      <c r="J2" s="291"/>
      <c r="K2" s="291"/>
      <c r="L2" s="291"/>
      <c r="M2" s="70"/>
      <c r="N2" s="299" t="s">
        <v>270</v>
      </c>
      <c r="O2" s="299"/>
      <c r="P2" s="299"/>
      <c r="Q2" s="299"/>
      <c r="R2" s="300"/>
    </row>
    <row r="3" spans="1:18" ht="15" x14ac:dyDescent="0.2">
      <c r="A3" s="71"/>
      <c r="B3" s="72"/>
      <c r="C3" s="73"/>
      <c r="D3" s="73"/>
      <c r="E3" s="73"/>
      <c r="F3" s="69"/>
      <c r="G3" s="69"/>
      <c r="H3" s="69"/>
      <c r="I3" s="73"/>
      <c r="J3" s="73"/>
      <c r="K3" s="73"/>
      <c r="L3" s="73"/>
      <c r="M3" s="73"/>
      <c r="N3" s="74"/>
      <c r="O3" s="72"/>
      <c r="P3" s="75"/>
      <c r="Q3" s="75"/>
      <c r="R3" s="76"/>
    </row>
    <row r="4" spans="1:18" ht="15" x14ac:dyDescent="0.2">
      <c r="A4" s="298" t="s">
        <v>238</v>
      </c>
      <c r="B4" s="299"/>
      <c r="C4" s="299"/>
      <c r="D4" s="299"/>
      <c r="E4" s="299"/>
      <c r="F4" s="77"/>
      <c r="G4" s="301"/>
      <c r="H4" s="302"/>
      <c r="I4" s="302"/>
      <c r="J4" s="302"/>
      <c r="K4" s="302"/>
      <c r="L4" s="78"/>
      <c r="M4" s="78"/>
      <c r="N4" s="301"/>
      <c r="O4" s="302"/>
      <c r="P4" s="302"/>
      <c r="Q4" s="302"/>
      <c r="R4" s="79"/>
    </row>
    <row r="5" spans="1:18" ht="15" x14ac:dyDescent="0.2">
      <c r="A5" s="80"/>
      <c r="B5" s="72"/>
      <c r="C5" s="72"/>
      <c r="D5" s="72"/>
      <c r="E5" s="72"/>
      <c r="F5" s="77"/>
      <c r="G5" s="302"/>
      <c r="H5" s="302"/>
      <c r="I5" s="302"/>
      <c r="J5" s="302"/>
      <c r="K5" s="302"/>
      <c r="L5" s="78"/>
      <c r="M5" s="78"/>
      <c r="N5" s="302"/>
      <c r="O5" s="302"/>
      <c r="P5" s="302"/>
      <c r="Q5" s="302"/>
      <c r="R5" s="79"/>
    </row>
    <row r="6" spans="1:18" x14ac:dyDescent="0.2">
      <c r="A6" s="298" t="s">
        <v>239</v>
      </c>
      <c r="B6" s="299"/>
      <c r="C6" s="303"/>
      <c r="D6" s="303"/>
      <c r="E6" s="72"/>
      <c r="F6" s="77"/>
      <c r="G6" s="304"/>
      <c r="H6" s="302"/>
      <c r="I6" s="302"/>
      <c r="J6" s="302"/>
      <c r="K6" s="302"/>
      <c r="L6" s="78"/>
      <c r="M6" s="78"/>
      <c r="N6" s="77"/>
      <c r="O6" s="69"/>
      <c r="P6" s="77"/>
      <c r="Q6" s="78"/>
      <c r="R6" s="81"/>
    </row>
    <row r="7" spans="1:18" ht="15" x14ac:dyDescent="0.2">
      <c r="A7" s="71"/>
      <c r="B7" s="82"/>
      <c r="C7" s="72"/>
      <c r="D7" s="73"/>
      <c r="E7" s="73"/>
      <c r="F7" s="83"/>
      <c r="G7" s="302"/>
      <c r="H7" s="302"/>
      <c r="I7" s="302"/>
      <c r="J7" s="302"/>
      <c r="K7" s="302"/>
      <c r="L7" s="83"/>
      <c r="M7" s="83"/>
      <c r="N7" s="83"/>
      <c r="O7" s="83"/>
      <c r="P7" s="77"/>
      <c r="Q7" s="83"/>
      <c r="R7" s="84"/>
    </row>
    <row r="8" spans="1:18" x14ac:dyDescent="0.2">
      <c r="A8" s="187" t="s">
        <v>94</v>
      </c>
      <c r="B8" s="188" t="s">
        <v>95</v>
      </c>
      <c r="C8" s="189" t="s">
        <v>96</v>
      </c>
      <c r="D8" s="305" t="s">
        <v>97</v>
      </c>
      <c r="E8" s="306"/>
      <c r="F8" s="189" t="s">
        <v>98</v>
      </c>
      <c r="G8" s="189" t="s">
        <v>99</v>
      </c>
      <c r="H8" s="190"/>
      <c r="I8" s="189" t="s">
        <v>100</v>
      </c>
      <c r="J8" s="305" t="s">
        <v>101</v>
      </c>
      <c r="K8" s="306"/>
      <c r="L8" s="306"/>
      <c r="M8" s="307"/>
      <c r="N8" s="305" t="s">
        <v>102</v>
      </c>
      <c r="O8" s="306"/>
      <c r="P8" s="306"/>
      <c r="Q8" s="307"/>
      <c r="R8" s="191" t="s">
        <v>103</v>
      </c>
    </row>
    <row r="9" spans="1:18" x14ac:dyDescent="0.2">
      <c r="A9" s="192" t="s">
        <v>104</v>
      </c>
      <c r="B9" s="193" t="s">
        <v>105</v>
      </c>
      <c r="C9" s="194" t="s">
        <v>106</v>
      </c>
      <c r="D9" s="189" t="s">
        <v>107</v>
      </c>
      <c r="E9" s="189" t="s">
        <v>131</v>
      </c>
      <c r="F9" s="194" t="s">
        <v>109</v>
      </c>
      <c r="G9" s="194" t="s">
        <v>110</v>
      </c>
      <c r="H9" s="189" t="s">
        <v>111</v>
      </c>
      <c r="I9" s="194" t="s">
        <v>112</v>
      </c>
      <c r="J9" s="195" t="s">
        <v>113</v>
      </c>
      <c r="K9" s="195" t="s">
        <v>114</v>
      </c>
      <c r="L9" s="195" t="s">
        <v>115</v>
      </c>
      <c r="M9" s="195" t="s">
        <v>42</v>
      </c>
      <c r="N9" s="195" t="s">
        <v>116</v>
      </c>
      <c r="O9" s="195" t="s">
        <v>117</v>
      </c>
      <c r="P9" s="195" t="s">
        <v>117</v>
      </c>
      <c r="Q9" s="195" t="s">
        <v>242</v>
      </c>
      <c r="R9" s="196"/>
    </row>
    <row r="10" spans="1:18" ht="13.5" customHeight="1" x14ac:dyDescent="0.2">
      <c r="A10" s="197"/>
      <c r="B10" s="193" t="s">
        <v>118</v>
      </c>
      <c r="C10" s="198"/>
      <c r="D10" s="199" t="s">
        <v>119</v>
      </c>
      <c r="E10" s="199" t="s">
        <v>108</v>
      </c>
      <c r="F10" s="199" t="s">
        <v>120</v>
      </c>
      <c r="G10" s="200"/>
      <c r="H10" s="199" t="s">
        <v>121</v>
      </c>
      <c r="I10" s="199" t="s">
        <v>121</v>
      </c>
      <c r="J10" s="201" t="s">
        <v>43</v>
      </c>
      <c r="K10" s="201" t="s">
        <v>43</v>
      </c>
      <c r="L10" s="201" t="s">
        <v>43</v>
      </c>
      <c r="M10" s="201" t="s">
        <v>43</v>
      </c>
      <c r="N10" s="201" t="s">
        <v>122</v>
      </c>
      <c r="O10" s="201" t="s">
        <v>123</v>
      </c>
      <c r="P10" s="201" t="s">
        <v>124</v>
      </c>
      <c r="Q10" s="201">
        <v>4</v>
      </c>
      <c r="R10" s="202"/>
    </row>
    <row r="11" spans="1:18" ht="15.75" x14ac:dyDescent="0.25">
      <c r="A11" s="203"/>
      <c r="B11" s="204" t="s">
        <v>125</v>
      </c>
      <c r="C11" s="205" t="s">
        <v>106</v>
      </c>
      <c r="D11" s="206">
        <v>630</v>
      </c>
      <c r="E11" s="207"/>
      <c r="F11" s="119">
        <v>35</v>
      </c>
      <c r="G11" s="119" t="s">
        <v>126</v>
      </c>
      <c r="H11" s="120" t="s">
        <v>240</v>
      </c>
      <c r="I11" s="208" t="s">
        <v>241</v>
      </c>
      <c r="J11" s="209">
        <v>130.02000000000001</v>
      </c>
      <c r="K11" s="209">
        <v>127.16</v>
      </c>
      <c r="L11" s="209">
        <v>119.59</v>
      </c>
      <c r="M11" s="210">
        <f>SUM(J11:L11)</f>
        <v>376.77</v>
      </c>
      <c r="N11" s="206"/>
      <c r="O11" s="119"/>
      <c r="P11" s="206"/>
      <c r="Q11" s="206">
        <v>1</v>
      </c>
      <c r="R11" s="211"/>
    </row>
    <row r="12" spans="1:18" ht="23.25" customHeight="1" x14ac:dyDescent="0.2">
      <c r="A12" s="203"/>
      <c r="B12" s="212" t="s">
        <v>127</v>
      </c>
      <c r="C12" s="213"/>
      <c r="D12" s="213"/>
      <c r="E12" s="213"/>
      <c r="F12" s="213"/>
      <c r="G12" s="213"/>
      <c r="H12" s="213"/>
      <c r="I12" s="213"/>
      <c r="J12" s="213"/>
      <c r="K12" s="213"/>
      <c r="L12" s="213"/>
      <c r="M12" s="213"/>
      <c r="N12" s="310" t="s">
        <v>103</v>
      </c>
      <c r="O12" s="311"/>
      <c r="P12" s="311"/>
      <c r="Q12" s="311"/>
      <c r="R12" s="312"/>
    </row>
    <row r="13" spans="1:18" s="140" customFormat="1" ht="13.5" x14ac:dyDescent="0.25">
      <c r="A13" s="236">
        <v>1</v>
      </c>
      <c r="B13" s="230" t="s">
        <v>265</v>
      </c>
      <c r="C13" s="231" t="s">
        <v>106</v>
      </c>
      <c r="D13" s="231"/>
      <c r="E13" s="286">
        <v>63</v>
      </c>
      <c r="F13" s="287">
        <v>32</v>
      </c>
      <c r="G13" s="232" t="s">
        <v>126</v>
      </c>
      <c r="H13" s="284" t="s">
        <v>132</v>
      </c>
      <c r="I13" s="285" t="s">
        <v>139</v>
      </c>
      <c r="J13" s="235">
        <f>('DB-1-N2'!AA45)/1000</f>
        <v>9.9</v>
      </c>
      <c r="K13" s="235">
        <f>('DB-1-N2'!AB45)/1000</f>
        <v>8.0500000000000007</v>
      </c>
      <c r="L13" s="235">
        <f>('DB-1-N2'!AC45)/1000</f>
        <v>6.7</v>
      </c>
      <c r="M13" s="235">
        <f>SUM(J13:L13)</f>
        <v>24.650000000000002</v>
      </c>
      <c r="N13" s="313" t="s">
        <v>266</v>
      </c>
      <c r="O13" s="314"/>
      <c r="P13" s="314"/>
      <c r="Q13" s="314"/>
      <c r="R13" s="315"/>
    </row>
    <row r="14" spans="1:18" ht="13.5" x14ac:dyDescent="0.25">
      <c r="A14" s="116">
        <v>2</v>
      </c>
      <c r="B14" s="117" t="s">
        <v>243</v>
      </c>
      <c r="C14" s="118" t="s">
        <v>106</v>
      </c>
      <c r="D14" s="123"/>
      <c r="E14" s="123">
        <v>63</v>
      </c>
      <c r="F14" s="123">
        <v>32</v>
      </c>
      <c r="G14" s="119" t="s">
        <v>126</v>
      </c>
      <c r="H14" s="120" t="s">
        <v>259</v>
      </c>
      <c r="I14" s="121" t="s">
        <v>139</v>
      </c>
      <c r="J14" s="122">
        <v>10.95</v>
      </c>
      <c r="K14" s="122">
        <v>10.42</v>
      </c>
      <c r="L14" s="122">
        <v>11.07</v>
      </c>
      <c r="M14" s="122">
        <f>SUM(J14:L14)</f>
        <v>32.44</v>
      </c>
      <c r="N14" s="288"/>
      <c r="O14" s="289"/>
      <c r="P14" s="289"/>
      <c r="Q14" s="289"/>
      <c r="R14" s="290"/>
    </row>
    <row r="15" spans="1:18" ht="13.5" x14ac:dyDescent="0.25">
      <c r="A15" s="116">
        <v>3</v>
      </c>
      <c r="B15" s="117" t="s">
        <v>244</v>
      </c>
      <c r="C15" s="118" t="s">
        <v>106</v>
      </c>
      <c r="D15" s="123"/>
      <c r="E15" s="123">
        <v>63</v>
      </c>
      <c r="F15" s="123">
        <v>32</v>
      </c>
      <c r="G15" s="119"/>
      <c r="H15" s="120" t="s">
        <v>260</v>
      </c>
      <c r="I15" s="121" t="s">
        <v>139</v>
      </c>
      <c r="J15" s="122">
        <v>11.23</v>
      </c>
      <c r="K15" s="122">
        <v>6.33</v>
      </c>
      <c r="L15" s="122">
        <v>8.75</v>
      </c>
      <c r="M15" s="122">
        <f t="shared" ref="M15:M42" si="0">SUM(J15:L15)</f>
        <v>26.310000000000002</v>
      </c>
      <c r="N15" s="288"/>
      <c r="O15" s="289"/>
      <c r="P15" s="289"/>
      <c r="Q15" s="289"/>
      <c r="R15" s="290"/>
    </row>
    <row r="16" spans="1:18" ht="13.5" x14ac:dyDescent="0.25">
      <c r="A16" s="116">
        <v>4</v>
      </c>
      <c r="B16" s="117" t="s">
        <v>255</v>
      </c>
      <c r="C16" s="118" t="s">
        <v>106</v>
      </c>
      <c r="D16" s="123"/>
      <c r="E16" s="123">
        <v>63</v>
      </c>
      <c r="F16" s="123">
        <v>32</v>
      </c>
      <c r="G16" s="119" t="s">
        <v>126</v>
      </c>
      <c r="H16" s="120" t="s">
        <v>259</v>
      </c>
      <c r="I16" s="121" t="s">
        <v>139</v>
      </c>
      <c r="J16" s="122">
        <v>5.6</v>
      </c>
      <c r="K16" s="122">
        <v>3</v>
      </c>
      <c r="L16" s="122">
        <v>3.2</v>
      </c>
      <c r="M16" s="122">
        <f t="shared" si="0"/>
        <v>11.8</v>
      </c>
      <c r="N16" s="323"/>
      <c r="O16" s="324"/>
      <c r="P16" s="324"/>
      <c r="Q16" s="324"/>
      <c r="R16" s="325"/>
    </row>
    <row r="17" spans="1:18" ht="13.5" x14ac:dyDescent="0.25">
      <c r="A17" s="116">
        <v>5</v>
      </c>
      <c r="B17" s="117" t="s">
        <v>256</v>
      </c>
      <c r="C17" s="118" t="s">
        <v>106</v>
      </c>
      <c r="D17" s="123"/>
      <c r="E17" s="123">
        <v>100</v>
      </c>
      <c r="F17" s="123">
        <v>32</v>
      </c>
      <c r="G17" s="119" t="s">
        <v>126</v>
      </c>
      <c r="H17" s="120" t="s">
        <v>261</v>
      </c>
      <c r="I17" s="121" t="s">
        <v>263</v>
      </c>
      <c r="J17" s="122">
        <v>8.81</v>
      </c>
      <c r="K17" s="122">
        <v>8.06</v>
      </c>
      <c r="L17" s="122">
        <v>9.56</v>
      </c>
      <c r="M17" s="122">
        <f t="shared" si="0"/>
        <v>26.43</v>
      </c>
      <c r="N17" s="326"/>
      <c r="O17" s="327"/>
      <c r="P17" s="327"/>
      <c r="Q17" s="327"/>
      <c r="R17" s="328"/>
    </row>
    <row r="18" spans="1:18" ht="13.5" x14ac:dyDescent="0.25">
      <c r="A18" s="116">
        <v>6</v>
      </c>
      <c r="B18" s="117" t="s">
        <v>245</v>
      </c>
      <c r="C18" s="118" t="s">
        <v>106</v>
      </c>
      <c r="D18" s="123"/>
      <c r="E18" s="123">
        <v>63</v>
      </c>
      <c r="F18" s="123">
        <v>32</v>
      </c>
      <c r="G18" s="119" t="s">
        <v>126</v>
      </c>
      <c r="H18" s="120" t="s">
        <v>259</v>
      </c>
      <c r="I18" s="121" t="s">
        <v>139</v>
      </c>
      <c r="J18" s="122">
        <v>3.73</v>
      </c>
      <c r="K18" s="122">
        <v>4.3099999999999996</v>
      </c>
      <c r="L18" s="122">
        <v>3.97</v>
      </c>
      <c r="M18" s="122">
        <f t="shared" si="0"/>
        <v>12.01</v>
      </c>
      <c r="N18" s="288"/>
      <c r="O18" s="289"/>
      <c r="P18" s="289"/>
      <c r="Q18" s="289"/>
      <c r="R18" s="290"/>
    </row>
    <row r="19" spans="1:18" ht="13.5" x14ac:dyDescent="0.25">
      <c r="A19" s="116">
        <v>7</v>
      </c>
      <c r="B19" s="117" t="s">
        <v>252</v>
      </c>
      <c r="C19" s="118" t="s">
        <v>140</v>
      </c>
      <c r="D19" s="123"/>
      <c r="E19" s="123">
        <v>63</v>
      </c>
      <c r="F19" s="123">
        <v>32</v>
      </c>
      <c r="G19" s="119"/>
      <c r="H19" s="120" t="s">
        <v>260</v>
      </c>
      <c r="I19" s="121" t="s">
        <v>139</v>
      </c>
      <c r="J19" s="122">
        <v>0</v>
      </c>
      <c r="K19" s="122"/>
      <c r="L19" s="122"/>
      <c r="M19" s="122">
        <f t="shared" si="0"/>
        <v>0</v>
      </c>
      <c r="N19" s="288" t="s">
        <v>267</v>
      </c>
      <c r="O19" s="289"/>
      <c r="P19" s="289"/>
      <c r="Q19" s="289"/>
      <c r="R19" s="290"/>
    </row>
    <row r="20" spans="1:18" ht="13.5" x14ac:dyDescent="0.25">
      <c r="A20" s="116">
        <v>8</v>
      </c>
      <c r="B20" s="117" t="s">
        <v>253</v>
      </c>
      <c r="C20" s="118" t="s">
        <v>140</v>
      </c>
      <c r="D20" s="123"/>
      <c r="E20" s="123">
        <v>63</v>
      </c>
      <c r="F20" s="123">
        <v>32</v>
      </c>
      <c r="G20" s="119"/>
      <c r="H20" s="120" t="s">
        <v>260</v>
      </c>
      <c r="I20" s="121" t="s">
        <v>139</v>
      </c>
      <c r="J20" s="122"/>
      <c r="K20" s="122">
        <v>0</v>
      </c>
      <c r="L20" s="122"/>
      <c r="M20" s="122">
        <f t="shared" si="0"/>
        <v>0</v>
      </c>
      <c r="N20" s="288" t="s">
        <v>267</v>
      </c>
      <c r="O20" s="289"/>
      <c r="P20" s="289"/>
      <c r="Q20" s="289"/>
      <c r="R20" s="290"/>
    </row>
    <row r="21" spans="1:18" ht="13.5" x14ac:dyDescent="0.25">
      <c r="A21" s="116">
        <v>9</v>
      </c>
      <c r="B21" s="117" t="s">
        <v>254</v>
      </c>
      <c r="C21" s="118" t="s">
        <v>140</v>
      </c>
      <c r="D21" s="123"/>
      <c r="E21" s="123">
        <v>63</v>
      </c>
      <c r="F21" s="123">
        <v>32</v>
      </c>
      <c r="G21" s="119"/>
      <c r="H21" s="120" t="s">
        <v>260</v>
      </c>
      <c r="I21" s="121" t="s">
        <v>139</v>
      </c>
      <c r="J21" s="122"/>
      <c r="K21" s="122"/>
      <c r="L21" s="122">
        <v>0.25</v>
      </c>
      <c r="M21" s="122">
        <f t="shared" si="0"/>
        <v>0.25</v>
      </c>
      <c r="N21" s="288" t="s">
        <v>268</v>
      </c>
      <c r="O21" s="289"/>
      <c r="P21" s="289"/>
      <c r="Q21" s="289"/>
      <c r="R21" s="290"/>
    </row>
    <row r="22" spans="1:18" ht="13.5" x14ac:dyDescent="0.25">
      <c r="A22" s="116">
        <v>10</v>
      </c>
      <c r="B22" s="117" t="s">
        <v>246</v>
      </c>
      <c r="C22" s="118" t="s">
        <v>106</v>
      </c>
      <c r="D22" s="123"/>
      <c r="E22" s="123">
        <v>250</v>
      </c>
      <c r="F22" s="123">
        <v>32</v>
      </c>
      <c r="G22" s="119" t="s">
        <v>126</v>
      </c>
      <c r="H22" s="120" t="s">
        <v>262</v>
      </c>
      <c r="I22" s="121" t="s">
        <v>264</v>
      </c>
      <c r="J22" s="122">
        <v>27.9</v>
      </c>
      <c r="K22" s="122">
        <v>34.21</v>
      </c>
      <c r="L22" s="122">
        <v>24.39</v>
      </c>
      <c r="M22" s="122">
        <f t="shared" si="0"/>
        <v>86.5</v>
      </c>
      <c r="N22" s="288" t="s">
        <v>269</v>
      </c>
      <c r="O22" s="289"/>
      <c r="P22" s="289"/>
      <c r="Q22" s="289"/>
      <c r="R22" s="290"/>
    </row>
    <row r="23" spans="1:18" ht="13.5" x14ac:dyDescent="0.25">
      <c r="A23" s="116">
        <v>11</v>
      </c>
      <c r="B23" s="117" t="s">
        <v>249</v>
      </c>
      <c r="C23" s="118" t="s">
        <v>140</v>
      </c>
      <c r="D23" s="123"/>
      <c r="E23" s="123">
        <v>63</v>
      </c>
      <c r="F23" s="123">
        <v>32</v>
      </c>
      <c r="G23" s="119"/>
      <c r="H23" s="120" t="s">
        <v>260</v>
      </c>
      <c r="I23" s="121" t="s">
        <v>139</v>
      </c>
      <c r="J23" s="122">
        <v>4.5</v>
      </c>
      <c r="K23" s="122"/>
      <c r="L23" s="122"/>
      <c r="M23" s="122">
        <f t="shared" si="0"/>
        <v>4.5</v>
      </c>
      <c r="N23" s="288"/>
      <c r="O23" s="289"/>
      <c r="P23" s="289"/>
      <c r="Q23" s="289"/>
      <c r="R23" s="290"/>
    </row>
    <row r="24" spans="1:18" ht="13.5" x14ac:dyDescent="0.25">
      <c r="A24" s="116">
        <v>12</v>
      </c>
      <c r="B24" s="117" t="s">
        <v>250</v>
      </c>
      <c r="C24" s="118" t="s">
        <v>140</v>
      </c>
      <c r="D24" s="123"/>
      <c r="E24" s="123">
        <v>63</v>
      </c>
      <c r="F24" s="123">
        <v>32</v>
      </c>
      <c r="G24" s="119"/>
      <c r="H24" s="120" t="s">
        <v>260</v>
      </c>
      <c r="I24" s="121" t="s">
        <v>139</v>
      </c>
      <c r="J24" s="122"/>
      <c r="K24" s="122">
        <v>4.5</v>
      </c>
      <c r="L24" s="122"/>
      <c r="M24" s="122">
        <f t="shared" si="0"/>
        <v>4.5</v>
      </c>
      <c r="N24" s="288"/>
      <c r="O24" s="289"/>
      <c r="P24" s="289"/>
      <c r="Q24" s="289"/>
      <c r="R24" s="290"/>
    </row>
    <row r="25" spans="1:18" ht="13.5" x14ac:dyDescent="0.25">
      <c r="A25" s="116">
        <v>13</v>
      </c>
      <c r="B25" s="117" t="s">
        <v>251</v>
      </c>
      <c r="C25" s="118" t="s">
        <v>140</v>
      </c>
      <c r="D25" s="123"/>
      <c r="E25" s="123">
        <v>63</v>
      </c>
      <c r="F25" s="123">
        <v>32</v>
      </c>
      <c r="G25" s="119"/>
      <c r="H25" s="120" t="s">
        <v>260</v>
      </c>
      <c r="I25" s="121" t="s">
        <v>139</v>
      </c>
      <c r="J25" s="122"/>
      <c r="K25" s="122"/>
      <c r="L25" s="122">
        <v>4.5</v>
      </c>
      <c r="M25" s="122">
        <f t="shared" si="0"/>
        <v>4.5</v>
      </c>
      <c r="N25" s="288"/>
      <c r="O25" s="289"/>
      <c r="P25" s="289"/>
      <c r="Q25" s="289"/>
      <c r="R25" s="290"/>
    </row>
    <row r="26" spans="1:18" ht="13.5" x14ac:dyDescent="0.25">
      <c r="A26" s="116">
        <v>14</v>
      </c>
      <c r="B26" s="117" t="s">
        <v>257</v>
      </c>
      <c r="C26" s="118" t="s">
        <v>140</v>
      </c>
      <c r="D26" s="123"/>
      <c r="E26" s="123">
        <v>63</v>
      </c>
      <c r="F26" s="123">
        <v>32</v>
      </c>
      <c r="G26" s="119"/>
      <c r="H26" s="120" t="s">
        <v>260</v>
      </c>
      <c r="I26" s="121" t="s">
        <v>139</v>
      </c>
      <c r="J26" s="122">
        <v>4.5</v>
      </c>
      <c r="K26" s="122"/>
      <c r="L26" s="122"/>
      <c r="M26" s="122">
        <f t="shared" si="0"/>
        <v>4.5</v>
      </c>
      <c r="N26" s="174"/>
      <c r="O26" s="175"/>
      <c r="P26" s="175"/>
      <c r="Q26" s="175"/>
      <c r="R26" s="176"/>
    </row>
    <row r="27" spans="1:18" ht="13.5" x14ac:dyDescent="0.25">
      <c r="A27" s="116">
        <v>15</v>
      </c>
      <c r="B27" s="117" t="s">
        <v>248</v>
      </c>
      <c r="C27" s="118" t="s">
        <v>140</v>
      </c>
      <c r="D27" s="123"/>
      <c r="E27" s="123">
        <v>63</v>
      </c>
      <c r="F27" s="123">
        <v>32</v>
      </c>
      <c r="G27" s="119"/>
      <c r="H27" s="120" t="s">
        <v>260</v>
      </c>
      <c r="I27" s="121" t="s">
        <v>139</v>
      </c>
      <c r="J27" s="122"/>
      <c r="K27" s="122">
        <v>4.5</v>
      </c>
      <c r="L27" s="122"/>
      <c r="M27" s="122">
        <f t="shared" si="0"/>
        <v>4.5</v>
      </c>
      <c r="N27" s="174"/>
      <c r="O27" s="175"/>
      <c r="P27" s="175"/>
      <c r="Q27" s="175"/>
      <c r="R27" s="176"/>
    </row>
    <row r="28" spans="1:18" ht="13.5" x14ac:dyDescent="0.25">
      <c r="A28" s="116">
        <v>16</v>
      </c>
      <c r="B28" s="117" t="s">
        <v>247</v>
      </c>
      <c r="C28" s="118" t="s">
        <v>140</v>
      </c>
      <c r="D28" s="123"/>
      <c r="E28" s="123">
        <v>63</v>
      </c>
      <c r="F28" s="123">
        <v>32</v>
      </c>
      <c r="G28" s="119"/>
      <c r="H28" s="120" t="s">
        <v>260</v>
      </c>
      <c r="I28" s="121" t="s">
        <v>139</v>
      </c>
      <c r="J28" s="122"/>
      <c r="K28" s="122"/>
      <c r="L28" s="122">
        <v>4.5</v>
      </c>
      <c r="M28" s="122">
        <f t="shared" si="0"/>
        <v>4.5</v>
      </c>
      <c r="N28" s="174"/>
      <c r="O28" s="175"/>
      <c r="P28" s="175"/>
      <c r="Q28" s="175"/>
      <c r="R28" s="176"/>
    </row>
    <row r="29" spans="1:18" ht="13.5" x14ac:dyDescent="0.25">
      <c r="A29" s="116">
        <v>17</v>
      </c>
      <c r="B29" s="117" t="s">
        <v>258</v>
      </c>
      <c r="C29" s="118" t="s">
        <v>106</v>
      </c>
      <c r="D29" s="123"/>
      <c r="E29" s="123">
        <v>63</v>
      </c>
      <c r="F29" s="123">
        <v>32</v>
      </c>
      <c r="G29" s="119" t="s">
        <v>126</v>
      </c>
      <c r="H29" s="120" t="s">
        <v>259</v>
      </c>
      <c r="I29" s="121" t="s">
        <v>139</v>
      </c>
      <c r="J29" s="122">
        <v>6.3</v>
      </c>
      <c r="K29" s="122">
        <v>4.5</v>
      </c>
      <c r="L29" s="122">
        <v>6.3</v>
      </c>
      <c r="M29" s="122">
        <f t="shared" si="0"/>
        <v>17.100000000000001</v>
      </c>
      <c r="N29" s="174"/>
      <c r="O29" s="175"/>
      <c r="P29" s="175"/>
      <c r="Q29" s="175"/>
      <c r="R29" s="176"/>
    </row>
    <row r="30" spans="1:18" ht="13.5" x14ac:dyDescent="0.25">
      <c r="A30" s="116">
        <v>18</v>
      </c>
      <c r="B30" s="117" t="s">
        <v>89</v>
      </c>
      <c r="C30" s="118" t="s">
        <v>140</v>
      </c>
      <c r="D30" s="123"/>
      <c r="E30" s="123">
        <v>63</v>
      </c>
      <c r="F30" s="123">
        <v>32</v>
      </c>
      <c r="G30" s="119"/>
      <c r="H30" s="120"/>
      <c r="I30" s="121"/>
      <c r="J30" s="122"/>
      <c r="K30" s="122"/>
      <c r="L30" s="122"/>
      <c r="M30" s="122">
        <f t="shared" si="0"/>
        <v>0</v>
      </c>
      <c r="N30" s="174"/>
      <c r="O30" s="175"/>
      <c r="P30" s="175"/>
      <c r="Q30" s="175"/>
      <c r="R30" s="176"/>
    </row>
    <row r="31" spans="1:18" ht="13.5" x14ac:dyDescent="0.25">
      <c r="A31" s="116">
        <v>19</v>
      </c>
      <c r="B31" s="117" t="s">
        <v>271</v>
      </c>
      <c r="C31" s="118" t="s">
        <v>140</v>
      </c>
      <c r="D31" s="123"/>
      <c r="E31" s="123">
        <v>63</v>
      </c>
      <c r="F31" s="123">
        <v>32</v>
      </c>
      <c r="G31" s="119"/>
      <c r="H31" s="120" t="s">
        <v>260</v>
      </c>
      <c r="I31" s="121" t="s">
        <v>287</v>
      </c>
      <c r="J31" s="122"/>
      <c r="K31" s="122">
        <v>0.25</v>
      </c>
      <c r="L31" s="122"/>
      <c r="M31" s="122">
        <f t="shared" si="0"/>
        <v>0.25</v>
      </c>
      <c r="N31" s="174"/>
      <c r="O31" s="175"/>
      <c r="P31" s="175"/>
      <c r="Q31" s="175"/>
      <c r="R31" s="176"/>
    </row>
    <row r="32" spans="1:18" ht="13.5" x14ac:dyDescent="0.25">
      <c r="A32" s="116">
        <v>20</v>
      </c>
      <c r="B32" s="117" t="s">
        <v>272</v>
      </c>
      <c r="C32" s="118" t="s">
        <v>140</v>
      </c>
      <c r="D32" s="123"/>
      <c r="E32" s="123">
        <v>63</v>
      </c>
      <c r="F32" s="123">
        <v>32</v>
      </c>
      <c r="G32" s="119"/>
      <c r="H32" s="120" t="s">
        <v>260</v>
      </c>
      <c r="I32" s="121" t="s">
        <v>287</v>
      </c>
      <c r="J32" s="122"/>
      <c r="K32" s="122"/>
      <c r="L32" s="122">
        <v>4.2</v>
      </c>
      <c r="M32" s="122">
        <f t="shared" si="0"/>
        <v>4.2</v>
      </c>
      <c r="N32" s="174"/>
      <c r="O32" s="175"/>
      <c r="P32" s="175"/>
      <c r="Q32" s="175"/>
      <c r="R32" s="176"/>
    </row>
    <row r="33" spans="1:18" ht="13.5" x14ac:dyDescent="0.25">
      <c r="A33" s="116">
        <v>21</v>
      </c>
      <c r="B33" s="117" t="s">
        <v>273</v>
      </c>
      <c r="C33" s="118" t="s">
        <v>140</v>
      </c>
      <c r="D33" s="123"/>
      <c r="E33" s="123">
        <v>25</v>
      </c>
      <c r="F33" s="123">
        <v>32</v>
      </c>
      <c r="G33" s="119"/>
      <c r="H33" s="120" t="s">
        <v>278</v>
      </c>
      <c r="I33" s="121" t="s">
        <v>288</v>
      </c>
      <c r="J33" s="122">
        <v>1.1000000000000001</v>
      </c>
      <c r="K33" s="122"/>
      <c r="L33" s="122"/>
      <c r="M33" s="122">
        <f t="shared" si="0"/>
        <v>1.1000000000000001</v>
      </c>
      <c r="N33" s="174"/>
      <c r="O33" s="175"/>
      <c r="P33" s="175"/>
      <c r="Q33" s="175"/>
      <c r="R33" s="176"/>
    </row>
    <row r="34" spans="1:18" ht="13.5" x14ac:dyDescent="0.25">
      <c r="A34" s="116">
        <v>22</v>
      </c>
      <c r="B34" s="117" t="s">
        <v>89</v>
      </c>
      <c r="C34" s="118" t="s">
        <v>140</v>
      </c>
      <c r="D34" s="123"/>
      <c r="E34" s="123"/>
      <c r="F34" s="123"/>
      <c r="G34" s="119"/>
      <c r="H34" s="120"/>
      <c r="I34" s="121"/>
      <c r="J34" s="122"/>
      <c r="K34" s="122"/>
      <c r="L34" s="122"/>
      <c r="M34" s="122">
        <f t="shared" si="0"/>
        <v>0</v>
      </c>
      <c r="N34" s="174"/>
      <c r="O34" s="175"/>
      <c r="P34" s="175"/>
      <c r="Q34" s="175"/>
      <c r="R34" s="176"/>
    </row>
    <row r="35" spans="1:18" ht="13.5" x14ac:dyDescent="0.25">
      <c r="A35" s="116">
        <v>23</v>
      </c>
      <c r="B35" s="117" t="s">
        <v>89</v>
      </c>
      <c r="C35" s="118" t="s">
        <v>140</v>
      </c>
      <c r="D35" s="123"/>
      <c r="E35" s="123"/>
      <c r="F35" s="123"/>
      <c r="G35" s="119"/>
      <c r="H35" s="120"/>
      <c r="I35" s="121"/>
      <c r="J35" s="122"/>
      <c r="K35" s="122"/>
      <c r="L35" s="122"/>
      <c r="M35" s="122">
        <f t="shared" si="0"/>
        <v>0</v>
      </c>
      <c r="N35" s="174"/>
      <c r="O35" s="175"/>
      <c r="P35" s="175"/>
      <c r="Q35" s="175"/>
      <c r="R35" s="176"/>
    </row>
    <row r="36" spans="1:18" ht="13.5" x14ac:dyDescent="0.25">
      <c r="A36" s="116">
        <v>24</v>
      </c>
      <c r="B36" s="117" t="s">
        <v>89</v>
      </c>
      <c r="C36" s="118" t="s">
        <v>106</v>
      </c>
      <c r="D36" s="123"/>
      <c r="E36" s="123"/>
      <c r="F36" s="123"/>
      <c r="G36" s="119"/>
      <c r="H36" s="120"/>
      <c r="I36" s="121"/>
      <c r="J36" s="122"/>
      <c r="K36" s="122"/>
      <c r="L36" s="122"/>
      <c r="M36" s="122">
        <f t="shared" si="0"/>
        <v>0</v>
      </c>
      <c r="N36" s="174"/>
      <c r="O36" s="175"/>
      <c r="P36" s="175"/>
      <c r="Q36" s="175"/>
      <c r="R36" s="176"/>
    </row>
    <row r="37" spans="1:18" s="140" customFormat="1" ht="13.5" x14ac:dyDescent="0.25">
      <c r="A37" s="236">
        <v>25</v>
      </c>
      <c r="B37" s="230" t="s">
        <v>284</v>
      </c>
      <c r="C37" s="231" t="s">
        <v>106</v>
      </c>
      <c r="D37" s="237"/>
      <c r="E37" s="237">
        <v>100</v>
      </c>
      <c r="F37" s="237">
        <v>32</v>
      </c>
      <c r="G37" s="232" t="s">
        <v>126</v>
      </c>
      <c r="H37" s="233" t="s">
        <v>286</v>
      </c>
      <c r="I37" s="234" t="s">
        <v>287</v>
      </c>
      <c r="J37" s="235">
        <f>('1-SPA-1'!W33)/1000</f>
        <v>15.786</v>
      </c>
      <c r="K37" s="235">
        <f>('1-SPA-1'!X33)/1000</f>
        <v>15.7875</v>
      </c>
      <c r="L37" s="235">
        <f>('1-SPA-1'!Y33)/1000</f>
        <v>13.417</v>
      </c>
      <c r="M37" s="235">
        <f t="shared" si="0"/>
        <v>44.990499999999997</v>
      </c>
      <c r="N37" s="292" t="s">
        <v>283</v>
      </c>
      <c r="O37" s="293"/>
      <c r="P37" s="293"/>
      <c r="Q37" s="293"/>
      <c r="R37" s="294"/>
    </row>
    <row r="38" spans="1:18" ht="13.5" x14ac:dyDescent="0.25">
      <c r="A38" s="116">
        <v>26</v>
      </c>
      <c r="B38" s="117" t="s">
        <v>274</v>
      </c>
      <c r="C38" s="118" t="s">
        <v>140</v>
      </c>
      <c r="D38" s="123"/>
      <c r="E38" s="123">
        <v>25</v>
      </c>
      <c r="F38" s="123">
        <v>32</v>
      </c>
      <c r="G38" s="119"/>
      <c r="H38" s="120" t="s">
        <v>280</v>
      </c>
      <c r="I38" s="121" t="s">
        <v>289</v>
      </c>
      <c r="J38" s="122">
        <v>1.1599999999999999</v>
      </c>
      <c r="K38" s="122"/>
      <c r="L38" s="122"/>
      <c r="M38" s="122">
        <f t="shared" si="0"/>
        <v>1.1599999999999999</v>
      </c>
      <c r="N38" s="174"/>
      <c r="O38" s="175"/>
      <c r="P38" s="175"/>
      <c r="Q38" s="175"/>
      <c r="R38" s="176"/>
    </row>
    <row r="39" spans="1:18" ht="13.5" x14ac:dyDescent="0.25">
      <c r="A39" s="116">
        <v>27</v>
      </c>
      <c r="B39" s="117" t="s">
        <v>275</v>
      </c>
      <c r="C39" s="118" t="s">
        <v>140</v>
      </c>
      <c r="D39" s="123"/>
      <c r="E39" s="123">
        <v>25</v>
      </c>
      <c r="F39" s="123">
        <v>32</v>
      </c>
      <c r="G39" s="119"/>
      <c r="H39" s="120" t="s">
        <v>278</v>
      </c>
      <c r="I39" s="121" t="s">
        <v>288</v>
      </c>
      <c r="J39" s="122"/>
      <c r="K39" s="122">
        <v>0.18</v>
      </c>
      <c r="L39" s="122"/>
      <c r="M39" s="122">
        <f t="shared" si="0"/>
        <v>0.18</v>
      </c>
      <c r="N39" s="174"/>
      <c r="O39" s="175"/>
      <c r="P39" s="175"/>
      <c r="Q39" s="175"/>
      <c r="R39" s="176"/>
    </row>
    <row r="40" spans="1:18" ht="13.5" x14ac:dyDescent="0.25">
      <c r="A40" s="116">
        <v>28</v>
      </c>
      <c r="B40" s="117" t="s">
        <v>276</v>
      </c>
      <c r="C40" s="118" t="s">
        <v>140</v>
      </c>
      <c r="D40" s="123"/>
      <c r="E40" s="123">
        <v>25</v>
      </c>
      <c r="F40" s="123">
        <v>32</v>
      </c>
      <c r="G40" s="119" t="s">
        <v>126</v>
      </c>
      <c r="H40" s="120" t="s">
        <v>278</v>
      </c>
      <c r="I40" s="121" t="s">
        <v>288</v>
      </c>
      <c r="J40" s="122"/>
      <c r="K40" s="122"/>
      <c r="L40" s="122">
        <v>1.03</v>
      </c>
      <c r="M40" s="122">
        <f t="shared" si="0"/>
        <v>1.03</v>
      </c>
      <c r="N40" s="174"/>
      <c r="O40" s="175"/>
      <c r="P40" s="175"/>
      <c r="Q40" s="175"/>
      <c r="R40" s="176"/>
    </row>
    <row r="41" spans="1:18" ht="13.5" x14ac:dyDescent="0.25">
      <c r="A41" s="236">
        <v>29</v>
      </c>
      <c r="B41" s="230" t="s">
        <v>296</v>
      </c>
      <c r="C41" s="231" t="s">
        <v>106</v>
      </c>
      <c r="D41" s="237"/>
      <c r="E41" s="237">
        <v>160</v>
      </c>
      <c r="F41" s="237">
        <v>32</v>
      </c>
      <c r="G41" s="232" t="s">
        <v>126</v>
      </c>
      <c r="H41" s="233" t="s">
        <v>281</v>
      </c>
      <c r="I41" s="234" t="s">
        <v>290</v>
      </c>
      <c r="J41" s="235">
        <f>'1-SPA2'!V45/1000</f>
        <v>22.159333333333333</v>
      </c>
      <c r="K41" s="235">
        <f>'1-SPA2'!W45/1000</f>
        <v>26.273333333333333</v>
      </c>
      <c r="L41" s="235">
        <f>'1-SPA2'!X45/1000</f>
        <v>21.198333333333334</v>
      </c>
      <c r="M41" s="235">
        <f t="shared" si="0"/>
        <v>69.631</v>
      </c>
      <c r="N41" s="292" t="s">
        <v>297</v>
      </c>
      <c r="O41" s="293"/>
      <c r="P41" s="293"/>
      <c r="Q41" s="293"/>
      <c r="R41" s="294"/>
    </row>
    <row r="42" spans="1:18" ht="13.5" x14ac:dyDescent="0.25">
      <c r="A42" s="116">
        <v>30</v>
      </c>
      <c r="B42" s="117" t="s">
        <v>277</v>
      </c>
      <c r="C42" s="118" t="s">
        <v>106</v>
      </c>
      <c r="D42" s="123"/>
      <c r="E42" s="123">
        <v>63</v>
      </c>
      <c r="F42" s="123">
        <v>32</v>
      </c>
      <c r="G42" s="119" t="s">
        <v>126</v>
      </c>
      <c r="H42" s="120" t="s">
        <v>279</v>
      </c>
      <c r="I42" s="120" t="s">
        <v>287</v>
      </c>
      <c r="J42" s="214">
        <v>5.67</v>
      </c>
      <c r="K42" s="214">
        <v>5.67</v>
      </c>
      <c r="L42" s="214">
        <v>5.52</v>
      </c>
      <c r="M42" s="122">
        <f t="shared" si="0"/>
        <v>16.86</v>
      </c>
      <c r="N42" s="316"/>
      <c r="O42" s="317"/>
      <c r="P42" s="317"/>
      <c r="Q42" s="317"/>
      <c r="R42" s="318"/>
    </row>
    <row r="43" spans="1:18" ht="13.5" x14ac:dyDescent="0.25">
      <c r="A43" s="215" t="s">
        <v>133</v>
      </c>
      <c r="B43" s="216"/>
      <c r="C43" s="217"/>
      <c r="D43" s="217"/>
      <c r="E43" s="217"/>
      <c r="F43" s="319" t="s">
        <v>128</v>
      </c>
      <c r="G43" s="320"/>
      <c r="H43" s="320"/>
      <c r="I43" s="218"/>
      <c r="J43" s="214"/>
      <c r="K43" s="214"/>
      <c r="L43" s="214"/>
      <c r="M43" s="214"/>
      <c r="N43" s="219"/>
      <c r="O43" s="219"/>
      <c r="P43" s="219"/>
      <c r="Q43" s="219"/>
      <c r="R43" s="191" t="s">
        <v>42</v>
      </c>
    </row>
    <row r="44" spans="1:18" ht="15.75" x14ac:dyDescent="0.25">
      <c r="A44" s="220"/>
      <c r="B44" s="221" t="s">
        <v>119</v>
      </c>
      <c r="C44" s="222"/>
      <c r="D44" s="222"/>
      <c r="E44" s="222"/>
      <c r="F44" s="321"/>
      <c r="G44" s="322"/>
      <c r="H44" s="322"/>
      <c r="I44" s="223" t="s">
        <v>42</v>
      </c>
      <c r="J44" s="214">
        <f>SUM(J13:J43)</f>
        <v>139.2953333333333</v>
      </c>
      <c r="K44" s="214">
        <f>SUM(K13:K43)</f>
        <v>136.04083333333332</v>
      </c>
      <c r="L44" s="214">
        <f>SUM(L13:L43)</f>
        <v>128.55533333333335</v>
      </c>
      <c r="M44" s="214">
        <f>SUM(M13:M43)</f>
        <v>403.89150000000006</v>
      </c>
      <c r="N44" s="224"/>
      <c r="O44" s="224"/>
      <c r="P44" s="224"/>
      <c r="Q44" s="224"/>
      <c r="R44" s="225">
        <f>M44</f>
        <v>403.89150000000006</v>
      </c>
    </row>
    <row r="45" spans="1:18" ht="15.75" x14ac:dyDescent="0.25">
      <c r="A45" s="71"/>
      <c r="B45" s="85"/>
      <c r="C45" s="86"/>
      <c r="D45" s="86"/>
      <c r="E45" s="86"/>
      <c r="F45" s="87"/>
      <c r="G45" s="87"/>
      <c r="H45" s="87"/>
      <c r="I45" s="88"/>
      <c r="J45" s="89"/>
      <c r="K45" s="89"/>
      <c r="L45" s="89"/>
      <c r="M45" s="89"/>
      <c r="N45" s="90"/>
      <c r="O45" s="90"/>
      <c r="P45" s="90"/>
      <c r="Q45" s="90"/>
      <c r="R45" s="91"/>
    </row>
    <row r="46" spans="1:18" ht="15.75" x14ac:dyDescent="0.25">
      <c r="A46" s="71"/>
      <c r="B46" s="308" t="s">
        <v>44</v>
      </c>
      <c r="C46" s="309"/>
      <c r="D46" s="88">
        <v>0.85</v>
      </c>
      <c r="E46" s="86"/>
      <c r="F46" s="109"/>
      <c r="G46" s="92">
        <f>J46*D46</f>
        <v>343.30777500000005</v>
      </c>
      <c r="H46" s="93" t="s">
        <v>45</v>
      </c>
      <c r="I46" s="88"/>
      <c r="J46" s="89">
        <f>M44</f>
        <v>403.89150000000006</v>
      </c>
      <c r="K46" s="89" t="s">
        <v>43</v>
      </c>
      <c r="L46" s="89"/>
      <c r="M46" s="89"/>
      <c r="N46" s="90"/>
      <c r="O46" s="90"/>
      <c r="P46" s="90"/>
      <c r="Q46" s="90"/>
      <c r="R46" s="91"/>
    </row>
    <row r="47" spans="1:18" ht="15.75" x14ac:dyDescent="0.25">
      <c r="A47" s="71"/>
      <c r="B47" s="85"/>
      <c r="C47" s="86"/>
      <c r="D47" s="86"/>
      <c r="E47" s="86"/>
      <c r="F47" s="87"/>
      <c r="G47" s="87"/>
      <c r="H47" s="87"/>
      <c r="I47" s="88"/>
      <c r="J47" s="89"/>
      <c r="K47" s="89"/>
      <c r="L47" s="89"/>
      <c r="M47" s="89"/>
      <c r="N47" s="90"/>
      <c r="O47" s="90"/>
      <c r="P47" s="90"/>
      <c r="Q47" s="90"/>
      <c r="R47" s="91"/>
    </row>
    <row r="48" spans="1:18" ht="15.75" x14ac:dyDescent="0.25">
      <c r="A48" s="94"/>
      <c r="B48" s="95"/>
      <c r="C48" s="96"/>
      <c r="D48" s="96"/>
      <c r="E48" s="96"/>
      <c r="F48" s="97"/>
      <c r="G48" s="97"/>
      <c r="H48" s="97"/>
      <c r="I48" s="98"/>
      <c r="J48" s="99"/>
      <c r="K48" s="99"/>
      <c r="L48" s="99"/>
      <c r="M48" s="99"/>
      <c r="N48" s="97"/>
      <c r="O48" s="97"/>
      <c r="P48" s="97"/>
      <c r="Q48" s="97"/>
      <c r="R48" s="100"/>
    </row>
    <row r="49" spans="1:18" ht="15" x14ac:dyDescent="0.2">
      <c r="A49" s="71"/>
      <c r="B49" s="72" t="s">
        <v>129</v>
      </c>
      <c r="C49" s="72"/>
      <c r="D49" s="72"/>
      <c r="E49" s="72"/>
      <c r="F49" s="72"/>
      <c r="G49" s="72"/>
      <c r="H49" s="72" t="s">
        <v>134</v>
      </c>
      <c r="I49" s="72"/>
      <c r="J49" s="72"/>
      <c r="K49" s="308" t="s">
        <v>136</v>
      </c>
      <c r="L49" s="308"/>
      <c r="M49" s="308"/>
      <c r="N49" s="72"/>
      <c r="O49" s="72" t="s">
        <v>137</v>
      </c>
      <c r="P49" s="73"/>
      <c r="Q49" s="73"/>
      <c r="R49" s="101"/>
    </row>
    <row r="50" spans="1:18" ht="15.75" thickBot="1" x14ac:dyDescent="0.25">
      <c r="A50" s="102"/>
      <c r="B50" s="103"/>
      <c r="C50" s="103"/>
      <c r="D50" s="103"/>
      <c r="E50" s="103"/>
      <c r="F50" s="105"/>
      <c r="G50" s="104" t="s">
        <v>130</v>
      </c>
      <c r="H50" s="106" t="s">
        <v>135</v>
      </c>
      <c r="I50" s="107"/>
      <c r="J50" s="107"/>
      <c r="K50" s="107"/>
      <c r="L50" s="107"/>
      <c r="M50" s="107"/>
      <c r="N50" s="107"/>
      <c r="O50" s="103"/>
      <c r="P50" s="103"/>
      <c r="Q50" s="103"/>
      <c r="R50" s="108"/>
    </row>
  </sheetData>
  <mergeCells count="32">
    <mergeCell ref="N41:R41"/>
    <mergeCell ref="B46:C46"/>
    <mergeCell ref="K49:M49"/>
    <mergeCell ref="N12:R12"/>
    <mergeCell ref="N13:R13"/>
    <mergeCell ref="N14:R14"/>
    <mergeCell ref="N15:R15"/>
    <mergeCell ref="N18:R18"/>
    <mergeCell ref="N22:R22"/>
    <mergeCell ref="N24:R24"/>
    <mergeCell ref="N42:R42"/>
    <mergeCell ref="N25:R25"/>
    <mergeCell ref="F43:H44"/>
    <mergeCell ref="N23:R23"/>
    <mergeCell ref="N16:R16"/>
    <mergeCell ref="N17:R17"/>
    <mergeCell ref="A6:D6"/>
    <mergeCell ref="G6:K7"/>
    <mergeCell ref="D8:E8"/>
    <mergeCell ref="J8:M8"/>
    <mergeCell ref="N8:Q8"/>
    <mergeCell ref="A2:E2"/>
    <mergeCell ref="N2:R2"/>
    <mergeCell ref="A4:E4"/>
    <mergeCell ref="G4:K5"/>
    <mergeCell ref="N4:Q5"/>
    <mergeCell ref="N20:R20"/>
    <mergeCell ref="N21:R21"/>
    <mergeCell ref="F2:L2"/>
    <mergeCell ref="N37:R37"/>
    <mergeCell ref="L1:R1"/>
    <mergeCell ref="N19:R19"/>
  </mergeCells>
  <pageMargins left="1" right="1" top="1" bottom="1" header="0.5" footer="0.5"/>
  <pageSetup paperSize="156" scale="4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E51"/>
  <sheetViews>
    <sheetView view="pageBreakPreview" zoomScale="55" zoomScaleNormal="100" zoomScaleSheetLayoutView="55" workbookViewId="0">
      <pane xSplit="4" ySplit="8" topLeftCell="E9" activePane="bottomRight" state="frozen"/>
      <selection pane="topRight" activeCell="E1" sqref="E1"/>
      <selection pane="bottomLeft" activeCell="A9" sqref="A9"/>
      <selection pane="bottomRight" activeCell="H29" sqref="H29"/>
    </sheetView>
  </sheetViews>
  <sheetFormatPr defaultRowHeight="12.75" x14ac:dyDescent="0.2"/>
  <cols>
    <col min="1" max="1" width="12.140625" style="163" customWidth="1"/>
    <col min="2" max="2" width="9" style="163" customWidth="1"/>
    <col min="3" max="5" width="6.42578125" style="163" customWidth="1"/>
    <col min="6" max="7" width="6.7109375" style="163" customWidth="1"/>
    <col min="8" max="8" width="58.42578125" style="163" customWidth="1"/>
    <col min="9" max="9" width="7" style="163" hidden="1" customWidth="1"/>
    <col min="10" max="13" width="6.7109375" style="163" hidden="1" customWidth="1"/>
    <col min="14" max="23" width="9.5703125" style="163" customWidth="1"/>
    <col min="24" max="24" width="9.7109375" style="163" customWidth="1"/>
    <col min="25" max="25" width="7.5703125" style="163" customWidth="1"/>
    <col min="26" max="26" width="12.28515625" style="163" customWidth="1"/>
    <col min="27" max="27" width="9.28515625" style="163" customWidth="1"/>
    <col min="28" max="29" width="7.7109375" style="163" customWidth="1"/>
    <col min="30" max="30" width="16.85546875" style="163" customWidth="1"/>
    <col min="31" max="16384" width="9.140625" style="163"/>
  </cols>
  <sheetData>
    <row r="1" spans="1:30" s="151" customFormat="1" ht="19.5" customHeight="1" x14ac:dyDescent="0.25">
      <c r="A1" s="10" t="s">
        <v>32</v>
      </c>
      <c r="B1" s="11" t="s">
        <v>50</v>
      </c>
      <c r="C1" s="7"/>
      <c r="D1" s="7"/>
      <c r="E1" s="7"/>
      <c r="F1" s="7"/>
      <c r="G1" s="7"/>
      <c r="H1" s="332" t="s">
        <v>56</v>
      </c>
      <c r="I1" s="332"/>
      <c r="J1" s="332"/>
      <c r="K1" s="332"/>
      <c r="L1" s="332"/>
      <c r="M1" s="332"/>
      <c r="N1" s="332"/>
      <c r="O1" s="332"/>
      <c r="P1" s="332"/>
      <c r="Q1" s="332"/>
      <c r="R1" s="332"/>
      <c r="S1" s="332"/>
      <c r="T1" s="332"/>
      <c r="U1" s="332"/>
      <c r="V1" s="332"/>
      <c r="W1" s="332"/>
      <c r="X1" s="332"/>
      <c r="Y1" s="332"/>
      <c r="Z1" s="7"/>
      <c r="AA1" s="7"/>
      <c r="AB1" s="7"/>
      <c r="AC1" s="7"/>
      <c r="AD1" s="8"/>
    </row>
    <row r="2" spans="1:30" s="2" customFormat="1" ht="19.5" customHeight="1" x14ac:dyDescent="0.25">
      <c r="A2" s="9" t="s">
        <v>196</v>
      </c>
      <c r="B2" s="3"/>
      <c r="C2" s="1"/>
      <c r="H2" s="333" t="s">
        <v>55</v>
      </c>
      <c r="I2" s="333"/>
      <c r="J2" s="333"/>
      <c r="K2" s="333"/>
      <c r="L2" s="333"/>
      <c r="M2" s="333"/>
      <c r="N2" s="333"/>
      <c r="O2" s="333"/>
      <c r="P2" s="333"/>
      <c r="Q2" s="333"/>
      <c r="R2" s="333"/>
      <c r="S2" s="333"/>
      <c r="T2" s="333"/>
      <c r="U2" s="333"/>
      <c r="V2" s="333"/>
      <c r="W2" s="333"/>
      <c r="X2" s="333"/>
      <c r="Y2" s="333"/>
      <c r="AA2" s="334"/>
      <c r="AB2" s="334"/>
      <c r="AC2" s="335"/>
      <c r="AD2" s="336"/>
    </row>
    <row r="3" spans="1:30" s="2" customFormat="1" ht="19.5" customHeight="1" x14ac:dyDescent="0.25">
      <c r="A3" s="9" t="s">
        <v>195</v>
      </c>
      <c r="B3" s="3"/>
      <c r="C3" s="3"/>
      <c r="D3" s="3"/>
      <c r="E3" s="3"/>
      <c r="F3" s="3"/>
      <c r="AA3" s="3"/>
      <c r="AB3" s="3"/>
      <c r="AC3" s="335"/>
      <c r="AD3" s="336"/>
    </row>
    <row r="4" spans="1:30" s="2" customFormat="1" ht="19.5" customHeight="1" thickBot="1" x14ac:dyDescent="0.3">
      <c r="A4" s="14" t="s">
        <v>90</v>
      </c>
      <c r="B4" s="12"/>
      <c r="C4" s="12"/>
      <c r="D4" s="12"/>
      <c r="E4" s="12"/>
      <c r="F4" s="12"/>
      <c r="G4" s="12"/>
      <c r="H4" s="12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337" t="s">
        <v>57</v>
      </c>
      <c r="AA4" s="337"/>
      <c r="AB4" s="338" t="s">
        <v>173</v>
      </c>
      <c r="AC4" s="338"/>
      <c r="AD4" s="339"/>
    </row>
    <row r="5" spans="1:30" s="2" customFormat="1" ht="21.75" customHeight="1" x14ac:dyDescent="0.2">
      <c r="A5" s="349" t="s">
        <v>0</v>
      </c>
      <c r="B5" s="352" t="s">
        <v>1</v>
      </c>
      <c r="C5" s="329" t="s">
        <v>2</v>
      </c>
      <c r="D5" s="329" t="s">
        <v>3</v>
      </c>
      <c r="E5" s="329" t="s">
        <v>4</v>
      </c>
      <c r="F5" s="329" t="s">
        <v>5</v>
      </c>
      <c r="G5" s="329" t="s">
        <v>6</v>
      </c>
      <c r="H5" s="371" t="s">
        <v>7</v>
      </c>
      <c r="I5" s="374" t="s">
        <v>8</v>
      </c>
      <c r="J5" s="341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W5" s="341"/>
      <c r="X5" s="341"/>
      <c r="Y5" s="342"/>
      <c r="Z5" s="329" t="s">
        <v>54</v>
      </c>
      <c r="AA5" s="340" t="s">
        <v>9</v>
      </c>
      <c r="AB5" s="341"/>
      <c r="AC5" s="342"/>
      <c r="AD5" s="343" t="s">
        <v>10</v>
      </c>
    </row>
    <row r="6" spans="1:30" s="2" customFormat="1" ht="21.75" customHeight="1" x14ac:dyDescent="0.2">
      <c r="A6" s="350"/>
      <c r="B6" s="353"/>
      <c r="C6" s="330"/>
      <c r="D6" s="330"/>
      <c r="E6" s="330"/>
      <c r="F6" s="330"/>
      <c r="G6" s="330"/>
      <c r="H6" s="372"/>
      <c r="I6" s="125"/>
      <c r="J6" s="26"/>
      <c r="K6" s="26"/>
      <c r="L6" s="26"/>
      <c r="M6" s="26"/>
      <c r="N6" s="129" t="s">
        <v>52</v>
      </c>
      <c r="O6" s="129" t="s">
        <v>52</v>
      </c>
      <c r="P6" s="129" t="s">
        <v>52</v>
      </c>
      <c r="Q6" s="64" t="s">
        <v>60</v>
      </c>
      <c r="R6" s="64" t="s">
        <v>60</v>
      </c>
      <c r="S6" s="64" t="s">
        <v>61</v>
      </c>
      <c r="T6" s="64" t="s">
        <v>62</v>
      </c>
      <c r="U6" s="64" t="s">
        <v>49</v>
      </c>
      <c r="V6" s="368" t="s">
        <v>13</v>
      </c>
      <c r="W6" s="368" t="s">
        <v>63</v>
      </c>
      <c r="X6" s="368" t="s">
        <v>174</v>
      </c>
      <c r="Y6" s="346" t="s">
        <v>42</v>
      </c>
      <c r="Z6" s="330"/>
      <c r="AA6" s="179"/>
      <c r="AB6" s="179"/>
      <c r="AC6" s="179"/>
      <c r="AD6" s="344"/>
    </row>
    <row r="7" spans="1:30" s="2" customFormat="1" ht="21.75" customHeight="1" x14ac:dyDescent="0.2">
      <c r="A7" s="350"/>
      <c r="B7" s="353"/>
      <c r="C7" s="330"/>
      <c r="D7" s="330"/>
      <c r="E7" s="330"/>
      <c r="F7" s="330"/>
      <c r="G7" s="330"/>
      <c r="H7" s="372"/>
      <c r="I7" s="125"/>
      <c r="J7" s="26"/>
      <c r="K7" s="26"/>
      <c r="L7" s="26"/>
      <c r="M7" s="26"/>
      <c r="N7" s="181">
        <v>1</v>
      </c>
      <c r="O7" s="181">
        <v>2</v>
      </c>
      <c r="P7" s="181">
        <v>3</v>
      </c>
      <c r="Q7" s="178" t="s">
        <v>58</v>
      </c>
      <c r="R7" s="178" t="s">
        <v>59</v>
      </c>
      <c r="S7" s="178" t="s">
        <v>58</v>
      </c>
      <c r="T7" s="181"/>
      <c r="U7" s="181"/>
      <c r="V7" s="369"/>
      <c r="W7" s="369"/>
      <c r="X7" s="369"/>
      <c r="Y7" s="330"/>
      <c r="Z7" s="330"/>
      <c r="AA7" s="347" t="s">
        <v>14</v>
      </c>
      <c r="AB7" s="347" t="s">
        <v>15</v>
      </c>
      <c r="AC7" s="347" t="s">
        <v>16</v>
      </c>
      <c r="AD7" s="344"/>
    </row>
    <row r="8" spans="1:30" s="2" customFormat="1" ht="21.75" customHeight="1" thickBot="1" x14ac:dyDescent="0.25">
      <c r="A8" s="351"/>
      <c r="B8" s="354"/>
      <c r="C8" s="331"/>
      <c r="D8" s="331"/>
      <c r="E8" s="331"/>
      <c r="F8" s="331"/>
      <c r="G8" s="331"/>
      <c r="H8" s="373"/>
      <c r="I8" s="133" t="s">
        <v>11</v>
      </c>
      <c r="J8" s="178" t="s">
        <v>46</v>
      </c>
      <c r="K8" s="178" t="s">
        <v>47</v>
      </c>
      <c r="L8" s="178" t="s">
        <v>48</v>
      </c>
      <c r="M8" s="181" t="s">
        <v>12</v>
      </c>
      <c r="N8" s="181"/>
      <c r="O8" s="181"/>
      <c r="P8" s="181"/>
      <c r="Q8" s="181">
        <v>200</v>
      </c>
      <c r="R8" s="181">
        <v>400</v>
      </c>
      <c r="S8" s="181"/>
      <c r="T8" s="181"/>
      <c r="U8" s="181"/>
      <c r="V8" s="370"/>
      <c r="W8" s="370"/>
      <c r="X8" s="370"/>
      <c r="Y8" s="331"/>
      <c r="Z8" s="331"/>
      <c r="AA8" s="348"/>
      <c r="AB8" s="348"/>
      <c r="AC8" s="348"/>
      <c r="AD8" s="345"/>
    </row>
    <row r="9" spans="1:30" s="2" customFormat="1" ht="21.75" customHeight="1" x14ac:dyDescent="0.2">
      <c r="A9" s="363" t="s">
        <v>88</v>
      </c>
      <c r="B9" s="365" t="s">
        <v>91</v>
      </c>
      <c r="C9" s="61">
        <v>1</v>
      </c>
      <c r="D9" s="43" t="s">
        <v>17</v>
      </c>
      <c r="E9" s="141">
        <v>10</v>
      </c>
      <c r="F9" s="142">
        <v>2.5</v>
      </c>
      <c r="G9" s="114">
        <v>2.5</v>
      </c>
      <c r="H9" s="112" t="s">
        <v>175</v>
      </c>
      <c r="I9" s="112"/>
      <c r="J9" s="28"/>
      <c r="K9" s="28"/>
      <c r="L9" s="110"/>
      <c r="M9" s="110"/>
      <c r="N9" s="110">
        <v>8</v>
      </c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49">
        <v>100</v>
      </c>
      <c r="AA9" s="36">
        <f>Z9*N9</f>
        <v>800</v>
      </c>
      <c r="AB9" s="182"/>
      <c r="AC9" s="110"/>
      <c r="AD9" s="34"/>
    </row>
    <row r="10" spans="1:30" s="2" customFormat="1" ht="21.75" customHeight="1" x14ac:dyDescent="0.2">
      <c r="A10" s="364"/>
      <c r="B10" s="366"/>
      <c r="C10" s="59">
        <v>2</v>
      </c>
      <c r="D10" s="29" t="s">
        <v>18</v>
      </c>
      <c r="E10" s="113">
        <v>10</v>
      </c>
      <c r="F10" s="115">
        <v>2.5</v>
      </c>
      <c r="G10" s="115">
        <v>2.5</v>
      </c>
      <c r="H10" s="113" t="s">
        <v>176</v>
      </c>
      <c r="I10" s="130"/>
      <c r="J10" s="31"/>
      <c r="K10" s="31"/>
      <c r="L10" s="130"/>
      <c r="M10" s="130"/>
      <c r="N10" s="130">
        <v>8</v>
      </c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44">
        <v>100</v>
      </c>
      <c r="AA10" s="130"/>
      <c r="AB10" s="37">
        <f>Z10*N10</f>
        <v>800</v>
      </c>
      <c r="AC10" s="177"/>
      <c r="AD10" s="32"/>
    </row>
    <row r="11" spans="1:30" s="2" customFormat="1" ht="21.75" customHeight="1" x14ac:dyDescent="0.2">
      <c r="A11" s="364"/>
      <c r="B11" s="366"/>
      <c r="C11" s="59">
        <v>3</v>
      </c>
      <c r="D11" s="29" t="s">
        <v>19</v>
      </c>
      <c r="E11" s="113">
        <v>10</v>
      </c>
      <c r="F11" s="115">
        <v>2.5</v>
      </c>
      <c r="G11" s="115">
        <v>2.5</v>
      </c>
      <c r="H11" s="113" t="s">
        <v>177</v>
      </c>
      <c r="I11" s="42"/>
      <c r="J11" s="31"/>
      <c r="K11" s="31"/>
      <c r="L11" s="130"/>
      <c r="M11" s="130"/>
      <c r="N11" s="130">
        <v>5</v>
      </c>
      <c r="O11" s="130"/>
      <c r="P11" s="130"/>
      <c r="Q11" s="130"/>
      <c r="R11" s="130"/>
      <c r="S11" s="130"/>
      <c r="T11" s="130"/>
      <c r="U11" s="130"/>
      <c r="V11" s="130"/>
      <c r="W11" s="130"/>
      <c r="X11" s="130"/>
      <c r="Y11" s="130"/>
      <c r="Z11" s="44">
        <v>100</v>
      </c>
      <c r="AA11" s="177"/>
      <c r="AB11" s="177"/>
      <c r="AC11" s="62">
        <f>Z11*N11</f>
        <v>500</v>
      </c>
      <c r="AD11" s="32"/>
    </row>
    <row r="12" spans="1:30" s="2" customFormat="1" ht="21.75" customHeight="1" x14ac:dyDescent="0.2">
      <c r="A12" s="364"/>
      <c r="B12" s="366"/>
      <c r="C12" s="59">
        <v>4</v>
      </c>
      <c r="D12" s="29" t="s">
        <v>20</v>
      </c>
      <c r="E12" s="113">
        <v>10</v>
      </c>
      <c r="F12" s="115">
        <v>2.5</v>
      </c>
      <c r="G12" s="115">
        <v>2.5</v>
      </c>
      <c r="H12" s="113" t="s">
        <v>178</v>
      </c>
      <c r="I12" s="130"/>
      <c r="J12" s="31"/>
      <c r="K12" s="31"/>
      <c r="L12" s="130"/>
      <c r="M12" s="130"/>
      <c r="N12" s="42">
        <v>7</v>
      </c>
      <c r="O12" s="42"/>
      <c r="P12" s="42"/>
      <c r="Q12" s="42"/>
      <c r="R12" s="42"/>
      <c r="S12" s="42"/>
      <c r="T12" s="42"/>
      <c r="U12" s="42"/>
      <c r="V12" s="42"/>
      <c r="W12" s="42"/>
      <c r="X12" s="130"/>
      <c r="Y12" s="130"/>
      <c r="Z12" s="44">
        <v>100</v>
      </c>
      <c r="AA12" s="37">
        <f>Z12*N12</f>
        <v>700</v>
      </c>
      <c r="AB12" s="130"/>
      <c r="AC12" s="130"/>
      <c r="AD12" s="132"/>
    </row>
    <row r="13" spans="1:30" s="2" customFormat="1" ht="21.75" customHeight="1" x14ac:dyDescent="0.2">
      <c r="A13" s="364"/>
      <c r="B13" s="366"/>
      <c r="C13" s="59">
        <v>5</v>
      </c>
      <c r="D13" s="29" t="s">
        <v>21</v>
      </c>
      <c r="E13" s="113">
        <v>10</v>
      </c>
      <c r="F13" s="115"/>
      <c r="G13" s="115"/>
      <c r="H13" s="113" t="s">
        <v>89</v>
      </c>
      <c r="I13" s="42"/>
      <c r="J13" s="31"/>
      <c r="K13" s="31"/>
      <c r="L13" s="130"/>
      <c r="M13" s="130"/>
      <c r="N13" s="130"/>
      <c r="O13" s="130"/>
      <c r="P13" s="130"/>
      <c r="Q13" s="130"/>
      <c r="R13" s="130"/>
      <c r="S13" s="130"/>
      <c r="T13" s="130"/>
      <c r="U13" s="130"/>
      <c r="V13" s="130"/>
      <c r="W13" s="130"/>
      <c r="X13" s="130"/>
      <c r="Y13" s="130"/>
      <c r="Z13" s="44"/>
      <c r="AA13" s="130"/>
      <c r="AB13" s="37">
        <v>0</v>
      </c>
      <c r="AC13" s="177"/>
      <c r="AD13" s="132"/>
    </row>
    <row r="14" spans="1:30" s="2" customFormat="1" ht="21.75" customHeight="1" thickBot="1" x14ac:dyDescent="0.25">
      <c r="A14" s="364"/>
      <c r="B14" s="367"/>
      <c r="C14" s="60">
        <v>6</v>
      </c>
      <c r="D14" s="41" t="s">
        <v>22</v>
      </c>
      <c r="E14" s="46">
        <v>10</v>
      </c>
      <c r="F14" s="51"/>
      <c r="G14" s="51"/>
      <c r="H14" s="46" t="s">
        <v>89</v>
      </c>
      <c r="I14" s="131"/>
      <c r="J14" s="33"/>
      <c r="K14" s="33"/>
      <c r="L14" s="131"/>
      <c r="M14" s="131"/>
      <c r="N14" s="131"/>
      <c r="O14" s="131"/>
      <c r="P14" s="131"/>
      <c r="Q14" s="131"/>
      <c r="R14" s="131"/>
      <c r="S14" s="131"/>
      <c r="T14" s="131"/>
      <c r="U14" s="131"/>
      <c r="V14" s="131"/>
      <c r="W14" s="131"/>
      <c r="X14" s="131"/>
      <c r="Y14" s="131"/>
      <c r="Z14" s="45"/>
      <c r="AA14" s="131"/>
      <c r="AB14" s="131"/>
      <c r="AC14" s="38">
        <v>0</v>
      </c>
      <c r="AD14" s="35"/>
    </row>
    <row r="15" spans="1:30" s="2" customFormat="1" ht="21.75" customHeight="1" x14ac:dyDescent="0.2">
      <c r="A15" s="364"/>
      <c r="B15" s="365" t="s">
        <v>91</v>
      </c>
      <c r="C15" s="61">
        <v>7</v>
      </c>
      <c r="D15" s="43" t="s">
        <v>33</v>
      </c>
      <c r="E15" s="141">
        <v>10</v>
      </c>
      <c r="F15" s="142"/>
      <c r="G15" s="142"/>
      <c r="H15" s="141" t="s">
        <v>89</v>
      </c>
      <c r="I15" s="47"/>
      <c r="J15" s="39"/>
      <c r="K15" s="39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47"/>
      <c r="Y15" s="126"/>
      <c r="Z15" s="50"/>
      <c r="AA15" s="36">
        <v>0</v>
      </c>
      <c r="AB15" s="182"/>
      <c r="AC15" s="110"/>
      <c r="AD15" s="53"/>
    </row>
    <row r="16" spans="1:30" s="2" customFormat="1" ht="21.75" customHeight="1" x14ac:dyDescent="0.2">
      <c r="A16" s="364"/>
      <c r="B16" s="366"/>
      <c r="C16" s="59">
        <v>8</v>
      </c>
      <c r="D16" s="29" t="s">
        <v>34</v>
      </c>
      <c r="E16" s="113">
        <v>10</v>
      </c>
      <c r="F16" s="115"/>
      <c r="G16" s="115"/>
      <c r="H16" s="113" t="s">
        <v>89</v>
      </c>
      <c r="I16" s="30"/>
      <c r="J16" s="31"/>
      <c r="K16" s="31"/>
      <c r="L16" s="130"/>
      <c r="M16" s="130"/>
      <c r="N16" s="130"/>
      <c r="O16" s="130"/>
      <c r="P16" s="130"/>
      <c r="Q16" s="130"/>
      <c r="R16" s="130"/>
      <c r="S16" s="130"/>
      <c r="T16" s="130"/>
      <c r="U16" s="130"/>
      <c r="V16" s="130"/>
      <c r="W16" s="130"/>
      <c r="X16" s="130"/>
      <c r="Y16" s="130"/>
      <c r="Z16" s="44"/>
      <c r="AA16" s="130"/>
      <c r="AB16" s="37">
        <v>0</v>
      </c>
      <c r="AC16" s="177"/>
      <c r="AD16" s="32"/>
    </row>
    <row r="17" spans="1:30" s="2" customFormat="1" ht="21.75" customHeight="1" x14ac:dyDescent="0.2">
      <c r="A17" s="364"/>
      <c r="B17" s="366"/>
      <c r="C17" s="59">
        <v>9</v>
      </c>
      <c r="D17" s="29" t="s">
        <v>35</v>
      </c>
      <c r="E17" s="113">
        <v>10</v>
      </c>
      <c r="F17" s="115"/>
      <c r="G17" s="115"/>
      <c r="H17" s="113" t="s">
        <v>89</v>
      </c>
      <c r="I17" s="30"/>
      <c r="J17" s="31"/>
      <c r="K17" s="31"/>
      <c r="L17" s="130"/>
      <c r="M17" s="130"/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130"/>
      <c r="Y17" s="130"/>
      <c r="Z17" s="44"/>
      <c r="AA17" s="177"/>
      <c r="AB17" s="177"/>
      <c r="AC17" s="62">
        <v>0</v>
      </c>
      <c r="AD17" s="32"/>
    </row>
    <row r="18" spans="1:30" s="2" customFormat="1" ht="21.75" customHeight="1" x14ac:dyDescent="0.2">
      <c r="A18" s="364"/>
      <c r="B18" s="366"/>
      <c r="C18" s="59">
        <v>10</v>
      </c>
      <c r="D18" s="29" t="s">
        <v>23</v>
      </c>
      <c r="E18" s="113">
        <v>10</v>
      </c>
      <c r="F18" s="115"/>
      <c r="G18" s="115"/>
      <c r="H18" s="113" t="s">
        <v>89</v>
      </c>
      <c r="I18" s="40"/>
      <c r="J18" s="31"/>
      <c r="K18" s="31"/>
      <c r="L18" s="130"/>
      <c r="M18" s="130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130"/>
      <c r="Z18" s="44"/>
      <c r="AA18" s="37">
        <v>0</v>
      </c>
      <c r="AB18" s="130"/>
      <c r="AC18" s="130"/>
      <c r="AD18" s="32"/>
    </row>
    <row r="19" spans="1:30" s="2" customFormat="1" ht="21.75" customHeight="1" x14ac:dyDescent="0.2">
      <c r="A19" s="364"/>
      <c r="B19" s="366"/>
      <c r="C19" s="59">
        <v>11</v>
      </c>
      <c r="D19" s="29" t="s">
        <v>24</v>
      </c>
      <c r="E19" s="113">
        <v>10</v>
      </c>
      <c r="F19" s="115">
        <v>2.5</v>
      </c>
      <c r="G19" s="115">
        <v>2.5</v>
      </c>
      <c r="H19" s="113" t="s">
        <v>180</v>
      </c>
      <c r="I19" s="30"/>
      <c r="J19" s="31"/>
      <c r="K19" s="31"/>
      <c r="L19" s="130"/>
      <c r="M19" s="130"/>
      <c r="N19" s="130">
        <v>5</v>
      </c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44">
        <v>50</v>
      </c>
      <c r="AA19" s="130"/>
      <c r="AB19" s="37">
        <f>Z19*N19</f>
        <v>250</v>
      </c>
      <c r="AC19" s="177"/>
      <c r="AD19" s="32"/>
    </row>
    <row r="20" spans="1:30" s="2" customFormat="1" ht="21.75" customHeight="1" thickBot="1" x14ac:dyDescent="0.25">
      <c r="A20" s="364"/>
      <c r="B20" s="367"/>
      <c r="C20" s="60">
        <v>12</v>
      </c>
      <c r="D20" s="41" t="s">
        <v>25</v>
      </c>
      <c r="E20" s="46">
        <v>10</v>
      </c>
      <c r="F20" s="51"/>
      <c r="G20" s="51"/>
      <c r="H20" s="55" t="s">
        <v>89</v>
      </c>
      <c r="I20" s="63"/>
      <c r="J20" s="56"/>
      <c r="K20" s="56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57"/>
      <c r="AA20" s="131"/>
      <c r="AB20" s="131"/>
      <c r="AC20" s="38">
        <v>0</v>
      </c>
      <c r="AD20" s="54"/>
    </row>
    <row r="21" spans="1:30" s="2" customFormat="1" ht="21.75" customHeight="1" x14ac:dyDescent="0.2">
      <c r="A21" s="364"/>
      <c r="B21" s="365" t="s">
        <v>92</v>
      </c>
      <c r="C21" s="61">
        <v>13</v>
      </c>
      <c r="D21" s="43" t="s">
        <v>26</v>
      </c>
      <c r="E21" s="141">
        <v>20</v>
      </c>
      <c r="F21" s="142">
        <v>4</v>
      </c>
      <c r="G21" s="142">
        <v>4</v>
      </c>
      <c r="H21" s="112" t="s">
        <v>165</v>
      </c>
      <c r="I21" s="48"/>
      <c r="J21" s="28"/>
      <c r="K21" s="28"/>
      <c r="L21" s="110"/>
      <c r="M21" s="110"/>
      <c r="N21" s="110"/>
      <c r="O21" s="110"/>
      <c r="P21" s="110"/>
      <c r="Q21" s="110">
        <v>1</v>
      </c>
      <c r="R21" s="110">
        <v>2</v>
      </c>
      <c r="S21" s="110"/>
      <c r="T21" s="110"/>
      <c r="U21" s="110"/>
      <c r="V21" s="110"/>
      <c r="W21" s="110"/>
      <c r="X21" s="48"/>
      <c r="Y21" s="110"/>
      <c r="Z21" s="49"/>
      <c r="AA21" s="36">
        <f>(Q21*Q8)+(R21*R8)</f>
        <v>1000</v>
      </c>
      <c r="AB21" s="182"/>
      <c r="AC21" s="110"/>
      <c r="AD21" s="34" t="s">
        <v>302</v>
      </c>
    </row>
    <row r="22" spans="1:30" s="2" customFormat="1" ht="21.75" customHeight="1" x14ac:dyDescent="0.2">
      <c r="A22" s="364"/>
      <c r="B22" s="366"/>
      <c r="C22" s="59">
        <v>14</v>
      </c>
      <c r="D22" s="29" t="s">
        <v>27</v>
      </c>
      <c r="E22" s="113">
        <v>10</v>
      </c>
      <c r="F22" s="115"/>
      <c r="G22" s="115"/>
      <c r="H22" s="113" t="s">
        <v>89</v>
      </c>
      <c r="I22" s="30"/>
      <c r="J22" s="31"/>
      <c r="K22" s="31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0"/>
      <c r="W22" s="130"/>
      <c r="X22" s="130"/>
      <c r="Y22" s="130"/>
      <c r="Z22" s="44"/>
      <c r="AA22" s="130"/>
      <c r="AB22" s="37">
        <v>0</v>
      </c>
      <c r="AC22" s="177"/>
      <c r="AD22" s="32"/>
    </row>
    <row r="23" spans="1:30" s="2" customFormat="1" ht="21.75" customHeight="1" x14ac:dyDescent="0.2">
      <c r="A23" s="364"/>
      <c r="B23" s="366"/>
      <c r="C23" s="59">
        <v>15</v>
      </c>
      <c r="D23" s="29" t="s">
        <v>28</v>
      </c>
      <c r="E23" s="113">
        <v>10</v>
      </c>
      <c r="F23" s="115"/>
      <c r="G23" s="115"/>
      <c r="H23" s="113" t="s">
        <v>89</v>
      </c>
      <c r="I23" s="30"/>
      <c r="J23" s="31"/>
      <c r="K23" s="31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44"/>
      <c r="AA23" s="177"/>
      <c r="AB23" s="177"/>
      <c r="AC23" s="62">
        <v>0</v>
      </c>
      <c r="AD23" s="32"/>
    </row>
    <row r="24" spans="1:30" s="2" customFormat="1" ht="21.75" customHeight="1" x14ac:dyDescent="0.2">
      <c r="A24" s="364"/>
      <c r="B24" s="366"/>
      <c r="C24" s="59">
        <v>16</v>
      </c>
      <c r="D24" s="29" t="s">
        <v>29</v>
      </c>
      <c r="E24" s="113">
        <v>10</v>
      </c>
      <c r="F24" s="115"/>
      <c r="G24" s="115"/>
      <c r="H24" s="113" t="s">
        <v>89</v>
      </c>
      <c r="I24" s="40"/>
      <c r="J24" s="31"/>
      <c r="K24" s="31"/>
      <c r="L24" s="130"/>
      <c r="M24" s="130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130"/>
      <c r="Z24" s="44"/>
      <c r="AA24" s="37">
        <v>0</v>
      </c>
      <c r="AB24" s="130"/>
      <c r="AC24" s="130"/>
      <c r="AD24" s="32"/>
    </row>
    <row r="25" spans="1:30" s="2" customFormat="1" ht="21.75" customHeight="1" x14ac:dyDescent="0.2">
      <c r="A25" s="364"/>
      <c r="B25" s="366"/>
      <c r="C25" s="59">
        <v>17</v>
      </c>
      <c r="D25" s="29" t="s">
        <v>30</v>
      </c>
      <c r="E25" s="113">
        <v>10</v>
      </c>
      <c r="F25" s="115"/>
      <c r="G25" s="115"/>
      <c r="H25" s="113" t="s">
        <v>89</v>
      </c>
      <c r="I25" s="30"/>
      <c r="J25" s="31"/>
      <c r="K25" s="31"/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130"/>
      <c r="W25" s="130"/>
      <c r="X25" s="130"/>
      <c r="Y25" s="130"/>
      <c r="Z25" s="44"/>
      <c r="AA25" s="130"/>
      <c r="AB25" s="37">
        <v>0</v>
      </c>
      <c r="AC25" s="177"/>
      <c r="AD25" s="32"/>
    </row>
    <row r="26" spans="1:30" s="2" customFormat="1" ht="21.75" customHeight="1" thickBot="1" x14ac:dyDescent="0.25">
      <c r="A26" s="364"/>
      <c r="B26" s="367"/>
      <c r="C26" s="60">
        <v>18</v>
      </c>
      <c r="D26" s="41" t="s">
        <v>31</v>
      </c>
      <c r="E26" s="46">
        <v>10</v>
      </c>
      <c r="F26" s="51"/>
      <c r="G26" s="51"/>
      <c r="H26" s="113" t="s">
        <v>89</v>
      </c>
      <c r="I26" s="63"/>
      <c r="J26" s="56"/>
      <c r="K26" s="56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57"/>
      <c r="AA26" s="131"/>
      <c r="AB26" s="131"/>
      <c r="AC26" s="134">
        <v>0</v>
      </c>
      <c r="AD26" s="54"/>
    </row>
    <row r="27" spans="1:30" s="2" customFormat="1" ht="21.75" customHeight="1" x14ac:dyDescent="0.2">
      <c r="A27" s="364"/>
      <c r="B27" s="365" t="s">
        <v>92</v>
      </c>
      <c r="C27" s="61">
        <v>19</v>
      </c>
      <c r="D27" s="43" t="s">
        <v>36</v>
      </c>
      <c r="E27" s="141">
        <v>32</v>
      </c>
      <c r="F27" s="142">
        <v>4</v>
      </c>
      <c r="G27" s="142">
        <v>4</v>
      </c>
      <c r="H27" s="112" t="s">
        <v>181</v>
      </c>
      <c r="I27" s="48"/>
      <c r="J27" s="28"/>
      <c r="K27" s="28"/>
      <c r="L27" s="110"/>
      <c r="M27" s="110"/>
      <c r="N27" s="110"/>
      <c r="O27" s="110"/>
      <c r="P27" s="110"/>
      <c r="Q27" s="110"/>
      <c r="R27" s="110">
        <v>4</v>
      </c>
      <c r="S27" s="110"/>
      <c r="T27" s="110"/>
      <c r="U27" s="110"/>
      <c r="V27" s="110"/>
      <c r="W27" s="110"/>
      <c r="X27" s="110"/>
      <c r="Y27" s="110"/>
      <c r="Z27" s="49"/>
      <c r="AA27" s="36">
        <f>R27*R8</f>
        <v>1600</v>
      </c>
      <c r="AB27" s="182"/>
      <c r="AC27" s="110"/>
      <c r="AD27" s="34"/>
    </row>
    <row r="28" spans="1:30" s="2" customFormat="1" ht="21.75" customHeight="1" x14ac:dyDescent="0.2">
      <c r="A28" s="364"/>
      <c r="B28" s="366"/>
      <c r="C28" s="59">
        <v>20</v>
      </c>
      <c r="D28" s="29" t="s">
        <v>37</v>
      </c>
      <c r="E28" s="113">
        <v>32</v>
      </c>
      <c r="F28" s="142">
        <v>4</v>
      </c>
      <c r="G28" s="142">
        <v>4</v>
      </c>
      <c r="H28" s="113" t="s">
        <v>182</v>
      </c>
      <c r="I28" s="30"/>
      <c r="J28" s="31"/>
      <c r="K28" s="31"/>
      <c r="L28" s="130"/>
      <c r="M28" s="130"/>
      <c r="N28" s="130"/>
      <c r="O28" s="130"/>
      <c r="P28" s="130"/>
      <c r="Q28" s="130"/>
      <c r="R28" s="130">
        <v>6</v>
      </c>
      <c r="S28" s="130"/>
      <c r="T28" s="130"/>
      <c r="U28" s="130"/>
      <c r="V28" s="130"/>
      <c r="W28" s="130"/>
      <c r="X28" s="130"/>
      <c r="Y28" s="130"/>
      <c r="Z28" s="44"/>
      <c r="AA28" s="130"/>
      <c r="AB28" s="37">
        <f>R28*R8</f>
        <v>2400</v>
      </c>
      <c r="AC28" s="177"/>
      <c r="AD28" s="32"/>
    </row>
    <row r="29" spans="1:30" s="2" customFormat="1" ht="21.75" customHeight="1" x14ac:dyDescent="0.2">
      <c r="A29" s="364"/>
      <c r="B29" s="366"/>
      <c r="C29" s="59">
        <v>21</v>
      </c>
      <c r="D29" s="29" t="s">
        <v>38</v>
      </c>
      <c r="E29" s="113">
        <v>32</v>
      </c>
      <c r="F29" s="142">
        <v>4</v>
      </c>
      <c r="G29" s="142">
        <v>4</v>
      </c>
      <c r="H29" s="113" t="s">
        <v>183</v>
      </c>
      <c r="I29" s="30"/>
      <c r="J29" s="31"/>
      <c r="K29" s="31"/>
      <c r="L29" s="130"/>
      <c r="M29" s="130"/>
      <c r="N29" s="130"/>
      <c r="O29" s="130"/>
      <c r="P29" s="130"/>
      <c r="Q29" s="130"/>
      <c r="R29" s="130">
        <v>7</v>
      </c>
      <c r="S29" s="130"/>
      <c r="T29" s="130"/>
      <c r="U29" s="130"/>
      <c r="V29" s="130"/>
      <c r="W29" s="130"/>
      <c r="X29" s="130"/>
      <c r="Y29" s="130"/>
      <c r="Z29" s="44"/>
      <c r="AA29" s="177"/>
      <c r="AB29" s="177"/>
      <c r="AC29" s="62">
        <f>R29*R8</f>
        <v>2800</v>
      </c>
      <c r="AD29" s="32"/>
    </row>
    <row r="30" spans="1:30" s="2" customFormat="1" ht="21.75" customHeight="1" x14ac:dyDescent="0.2">
      <c r="A30" s="364"/>
      <c r="B30" s="366"/>
      <c r="C30" s="59">
        <v>22</v>
      </c>
      <c r="D30" s="29" t="s">
        <v>39</v>
      </c>
      <c r="E30" s="113">
        <v>32</v>
      </c>
      <c r="F30" s="142">
        <v>4</v>
      </c>
      <c r="G30" s="142">
        <v>4</v>
      </c>
      <c r="H30" s="113" t="s">
        <v>184</v>
      </c>
      <c r="I30" s="130"/>
      <c r="J30" s="31"/>
      <c r="K30" s="31"/>
      <c r="L30" s="130"/>
      <c r="M30" s="130"/>
      <c r="N30" s="130"/>
      <c r="O30" s="130"/>
      <c r="P30" s="130"/>
      <c r="Q30" s="130"/>
      <c r="R30" s="130">
        <v>4</v>
      </c>
      <c r="S30" s="130"/>
      <c r="T30" s="130"/>
      <c r="U30" s="130"/>
      <c r="V30" s="130"/>
      <c r="W30" s="130"/>
      <c r="X30" s="130"/>
      <c r="Y30" s="130"/>
      <c r="Z30" s="111"/>
      <c r="AA30" s="37">
        <f>R30*R8</f>
        <v>1600</v>
      </c>
      <c r="AB30" s="130"/>
      <c r="AC30" s="130"/>
      <c r="AD30" s="32"/>
    </row>
    <row r="31" spans="1:30" s="2" customFormat="1" ht="21.75" customHeight="1" x14ac:dyDescent="0.2">
      <c r="A31" s="364"/>
      <c r="B31" s="366"/>
      <c r="C31" s="59">
        <v>23</v>
      </c>
      <c r="D31" s="29" t="s">
        <v>40</v>
      </c>
      <c r="E31" s="113">
        <v>32</v>
      </c>
      <c r="F31" s="115"/>
      <c r="G31" s="115"/>
      <c r="H31" s="113" t="s">
        <v>89</v>
      </c>
      <c r="I31" s="113"/>
      <c r="J31" s="31"/>
      <c r="K31" s="31"/>
      <c r="L31" s="130"/>
      <c r="M31" s="130"/>
      <c r="N31" s="130"/>
      <c r="O31" s="130"/>
      <c r="P31" s="130"/>
      <c r="Q31" s="130"/>
      <c r="R31" s="130"/>
      <c r="S31" s="130"/>
      <c r="T31" s="130"/>
      <c r="U31" s="130"/>
      <c r="V31" s="130"/>
      <c r="W31" s="130"/>
      <c r="X31" s="130"/>
      <c r="Y31" s="130"/>
      <c r="Z31" s="111"/>
      <c r="AA31" s="130"/>
      <c r="AB31" s="37">
        <v>0</v>
      </c>
      <c r="AC31" s="177"/>
      <c r="AD31" s="32"/>
    </row>
    <row r="32" spans="1:30" s="2" customFormat="1" ht="21.75" customHeight="1" thickBot="1" x14ac:dyDescent="0.25">
      <c r="A32" s="364"/>
      <c r="B32" s="367"/>
      <c r="C32" s="60">
        <v>24</v>
      </c>
      <c r="D32" s="41" t="s">
        <v>41</v>
      </c>
      <c r="E32" s="46">
        <v>32</v>
      </c>
      <c r="F32" s="51"/>
      <c r="G32" s="51"/>
      <c r="H32" s="46" t="s">
        <v>89</v>
      </c>
      <c r="I32" s="46"/>
      <c r="J32" s="33"/>
      <c r="K32" s="33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77"/>
      <c r="X32" s="177"/>
      <c r="Y32" s="177"/>
      <c r="Z32" s="65"/>
      <c r="AA32" s="131"/>
      <c r="AB32" s="131"/>
      <c r="AC32" s="38">
        <v>0</v>
      </c>
      <c r="AD32" s="54"/>
    </row>
    <row r="33" spans="1:31" s="2" customFormat="1" ht="21.75" customHeight="1" x14ac:dyDescent="0.2">
      <c r="A33" s="135"/>
      <c r="B33" s="365" t="s">
        <v>92</v>
      </c>
      <c r="C33" s="61">
        <v>25</v>
      </c>
      <c r="D33" s="43" t="s">
        <v>65</v>
      </c>
      <c r="E33" s="141">
        <v>32</v>
      </c>
      <c r="F33" s="142">
        <v>4</v>
      </c>
      <c r="G33" s="142">
        <v>4</v>
      </c>
      <c r="H33" s="185" t="s">
        <v>185</v>
      </c>
      <c r="I33" s="48"/>
      <c r="J33" s="28"/>
      <c r="K33" s="28"/>
      <c r="L33" s="110"/>
      <c r="M33" s="110"/>
      <c r="N33" s="110"/>
      <c r="O33" s="110"/>
      <c r="P33" s="110"/>
      <c r="Q33" s="110"/>
      <c r="R33" s="110">
        <v>4</v>
      </c>
      <c r="S33" s="110"/>
      <c r="T33" s="110"/>
      <c r="U33" s="110"/>
      <c r="V33" s="110"/>
      <c r="W33" s="110"/>
      <c r="X33" s="110"/>
      <c r="Y33" s="110"/>
      <c r="Z33" s="49"/>
      <c r="AA33" s="36">
        <f>R33*R8</f>
        <v>1600</v>
      </c>
      <c r="AB33" s="182"/>
      <c r="AC33" s="110"/>
      <c r="AD33" s="34" t="s">
        <v>302</v>
      </c>
    </row>
    <row r="34" spans="1:31" s="2" customFormat="1" ht="21.75" customHeight="1" x14ac:dyDescent="0.2">
      <c r="A34" s="135"/>
      <c r="B34" s="366"/>
      <c r="C34" s="59">
        <v>26</v>
      </c>
      <c r="D34" s="29" t="s">
        <v>66</v>
      </c>
      <c r="E34" s="113">
        <v>32</v>
      </c>
      <c r="F34" s="142">
        <v>4</v>
      </c>
      <c r="G34" s="136">
        <v>4</v>
      </c>
      <c r="H34" s="113" t="s">
        <v>186</v>
      </c>
      <c r="I34" s="171"/>
      <c r="J34" s="31"/>
      <c r="K34" s="31"/>
      <c r="L34" s="130"/>
      <c r="M34" s="130"/>
      <c r="N34" s="130"/>
      <c r="O34" s="130"/>
      <c r="P34" s="130"/>
      <c r="Q34" s="130"/>
      <c r="R34" s="130">
        <v>4</v>
      </c>
      <c r="S34" s="130"/>
      <c r="T34" s="130"/>
      <c r="U34" s="130"/>
      <c r="V34" s="130"/>
      <c r="W34" s="130"/>
      <c r="X34" s="130"/>
      <c r="Y34" s="130"/>
      <c r="Z34" s="44"/>
      <c r="AA34" s="130"/>
      <c r="AB34" s="37">
        <f>R34*R8</f>
        <v>1600</v>
      </c>
      <c r="AC34" s="177"/>
      <c r="AD34" s="32" t="s">
        <v>302</v>
      </c>
    </row>
    <row r="35" spans="1:31" s="2" customFormat="1" ht="21.75" customHeight="1" x14ac:dyDescent="0.2">
      <c r="A35" s="135"/>
      <c r="B35" s="366"/>
      <c r="C35" s="59">
        <v>27</v>
      </c>
      <c r="D35" s="29" t="s">
        <v>67</v>
      </c>
      <c r="E35" s="113">
        <v>32</v>
      </c>
      <c r="F35" s="142">
        <v>4</v>
      </c>
      <c r="G35" s="136">
        <v>4</v>
      </c>
      <c r="H35" s="113" t="s">
        <v>187</v>
      </c>
      <c r="I35" s="171"/>
      <c r="J35" s="31"/>
      <c r="K35" s="31"/>
      <c r="L35" s="130"/>
      <c r="M35" s="130"/>
      <c r="N35" s="130"/>
      <c r="O35" s="130"/>
      <c r="P35" s="130"/>
      <c r="Q35" s="130"/>
      <c r="R35" s="130">
        <v>4</v>
      </c>
      <c r="S35" s="130"/>
      <c r="T35" s="130"/>
      <c r="U35" s="130"/>
      <c r="V35" s="130"/>
      <c r="W35" s="130"/>
      <c r="X35" s="130"/>
      <c r="Y35" s="130"/>
      <c r="Z35" s="44"/>
      <c r="AA35" s="177"/>
      <c r="AB35" s="177"/>
      <c r="AC35" s="62">
        <f>R35*R8</f>
        <v>1600</v>
      </c>
      <c r="AD35" s="32" t="s">
        <v>302</v>
      </c>
    </row>
    <row r="36" spans="1:31" s="2" customFormat="1" ht="21.75" customHeight="1" x14ac:dyDescent="0.2">
      <c r="A36" s="135"/>
      <c r="B36" s="366"/>
      <c r="C36" s="59">
        <v>28</v>
      </c>
      <c r="D36" s="29" t="s">
        <v>68</v>
      </c>
      <c r="E36" s="113">
        <v>32</v>
      </c>
      <c r="F36" s="142">
        <v>4</v>
      </c>
      <c r="G36" s="136">
        <v>4</v>
      </c>
      <c r="H36" s="113" t="s">
        <v>188</v>
      </c>
      <c r="I36" s="172"/>
      <c r="J36" s="31"/>
      <c r="K36" s="31"/>
      <c r="L36" s="130"/>
      <c r="M36" s="130"/>
      <c r="N36" s="130"/>
      <c r="O36" s="130"/>
      <c r="P36" s="130"/>
      <c r="Q36" s="130"/>
      <c r="R36" s="130">
        <v>4</v>
      </c>
      <c r="S36" s="130"/>
      <c r="T36" s="130"/>
      <c r="U36" s="130"/>
      <c r="V36" s="130"/>
      <c r="W36" s="130"/>
      <c r="X36" s="130"/>
      <c r="Y36" s="130"/>
      <c r="Z36" s="111"/>
      <c r="AA36" s="37">
        <f>R36*R8</f>
        <v>1600</v>
      </c>
      <c r="AB36" s="130"/>
      <c r="AC36" s="130"/>
      <c r="AD36" s="32" t="s">
        <v>302</v>
      </c>
    </row>
    <row r="37" spans="1:31" s="2" customFormat="1" ht="21.75" customHeight="1" x14ac:dyDescent="0.2">
      <c r="A37" s="135"/>
      <c r="B37" s="366"/>
      <c r="C37" s="59">
        <v>29</v>
      </c>
      <c r="D37" s="29" t="s">
        <v>69</v>
      </c>
      <c r="E37" s="113">
        <v>32</v>
      </c>
      <c r="F37" s="142">
        <v>4</v>
      </c>
      <c r="G37" s="136">
        <v>4</v>
      </c>
      <c r="H37" s="113" t="s">
        <v>189</v>
      </c>
      <c r="I37" s="173"/>
      <c r="J37" s="31"/>
      <c r="K37" s="31"/>
      <c r="L37" s="130"/>
      <c r="M37" s="130"/>
      <c r="N37" s="130"/>
      <c r="O37" s="130"/>
      <c r="P37" s="130"/>
      <c r="Q37" s="130"/>
      <c r="R37" s="130">
        <v>4</v>
      </c>
      <c r="S37" s="130"/>
      <c r="T37" s="130"/>
      <c r="U37" s="130"/>
      <c r="V37" s="130"/>
      <c r="W37" s="130"/>
      <c r="X37" s="130"/>
      <c r="Y37" s="130"/>
      <c r="Z37" s="111"/>
      <c r="AA37" s="130"/>
      <c r="AB37" s="37">
        <f>R37*R8</f>
        <v>1600</v>
      </c>
      <c r="AC37" s="177"/>
      <c r="AD37" s="32" t="s">
        <v>302</v>
      </c>
    </row>
    <row r="38" spans="1:31" s="2" customFormat="1" ht="21.75" customHeight="1" thickBot="1" x14ac:dyDescent="0.25">
      <c r="A38" s="135"/>
      <c r="B38" s="367"/>
      <c r="C38" s="60">
        <v>30</v>
      </c>
      <c r="D38" s="41" t="s">
        <v>70</v>
      </c>
      <c r="E38" s="46">
        <v>32</v>
      </c>
      <c r="F38" s="51">
        <v>4</v>
      </c>
      <c r="G38" s="51">
        <v>4</v>
      </c>
      <c r="H38" s="186" t="s">
        <v>166</v>
      </c>
      <c r="I38" s="46"/>
      <c r="J38" s="33"/>
      <c r="K38" s="33"/>
      <c r="L38" s="131"/>
      <c r="M38" s="131"/>
      <c r="N38" s="131"/>
      <c r="O38" s="131"/>
      <c r="P38" s="131"/>
      <c r="Q38" s="131">
        <v>1</v>
      </c>
      <c r="R38" s="131">
        <v>2</v>
      </c>
      <c r="S38" s="131"/>
      <c r="T38" s="131"/>
      <c r="U38" s="131"/>
      <c r="V38" s="131"/>
      <c r="W38" s="177"/>
      <c r="X38" s="177"/>
      <c r="Y38" s="177"/>
      <c r="Z38" s="65"/>
      <c r="AA38" s="131"/>
      <c r="AB38" s="131"/>
      <c r="AC38" s="38">
        <f>(Q38*Q8)+(R38*R8)</f>
        <v>1000</v>
      </c>
      <c r="AD38" s="54" t="s">
        <v>302</v>
      </c>
    </row>
    <row r="39" spans="1:31" s="2" customFormat="1" ht="21.75" customHeight="1" x14ac:dyDescent="0.2">
      <c r="A39" s="135"/>
      <c r="B39" s="365" t="s">
        <v>91</v>
      </c>
      <c r="C39" s="61">
        <v>31</v>
      </c>
      <c r="D39" s="43" t="s">
        <v>71</v>
      </c>
      <c r="E39" s="141">
        <v>20</v>
      </c>
      <c r="F39" s="142">
        <v>4</v>
      </c>
      <c r="G39" s="142">
        <v>4</v>
      </c>
      <c r="H39" s="112" t="s">
        <v>190</v>
      </c>
      <c r="I39" s="48"/>
      <c r="J39" s="28"/>
      <c r="K39" s="28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>
        <v>3</v>
      </c>
      <c r="W39" s="110"/>
      <c r="X39" s="110"/>
      <c r="Y39" s="110"/>
      <c r="Z39" s="49">
        <v>200</v>
      </c>
      <c r="AA39" s="36">
        <f>Z39*V39</f>
        <v>600</v>
      </c>
      <c r="AB39" s="182"/>
      <c r="AC39" s="110"/>
      <c r="AD39" s="34"/>
    </row>
    <row r="40" spans="1:31" s="2" customFormat="1" ht="21.75" customHeight="1" x14ac:dyDescent="0.2">
      <c r="A40" s="135"/>
      <c r="B40" s="366"/>
      <c r="C40" s="59">
        <v>32</v>
      </c>
      <c r="D40" s="29" t="s">
        <v>72</v>
      </c>
      <c r="E40" s="141">
        <v>20</v>
      </c>
      <c r="F40" s="142">
        <v>4</v>
      </c>
      <c r="G40" s="136">
        <v>4</v>
      </c>
      <c r="H40" s="113" t="s">
        <v>191</v>
      </c>
      <c r="I40" s="30"/>
      <c r="J40" s="31"/>
      <c r="K40" s="31"/>
      <c r="L40" s="130"/>
      <c r="M40" s="130"/>
      <c r="N40" s="130"/>
      <c r="O40" s="130"/>
      <c r="P40" s="130"/>
      <c r="Q40" s="130"/>
      <c r="R40" s="130"/>
      <c r="S40" s="130"/>
      <c r="T40" s="130"/>
      <c r="U40" s="130"/>
      <c r="V40" s="130">
        <v>2</v>
      </c>
      <c r="W40" s="130"/>
      <c r="X40" s="130"/>
      <c r="Y40" s="130"/>
      <c r="Z40" s="44">
        <v>200</v>
      </c>
      <c r="AA40" s="130"/>
      <c r="AB40" s="37">
        <f>Z40*V40</f>
        <v>400</v>
      </c>
      <c r="AC40" s="177"/>
      <c r="AD40" s="32"/>
    </row>
    <row r="41" spans="1:31" s="2" customFormat="1" ht="21.75" customHeight="1" x14ac:dyDescent="0.2">
      <c r="A41" s="135"/>
      <c r="B41" s="366"/>
      <c r="C41" s="59">
        <v>33</v>
      </c>
      <c r="D41" s="29" t="s">
        <v>73</v>
      </c>
      <c r="E41" s="141">
        <v>20</v>
      </c>
      <c r="F41" s="142">
        <v>4</v>
      </c>
      <c r="G41" s="136">
        <v>4</v>
      </c>
      <c r="H41" s="113" t="s">
        <v>192</v>
      </c>
      <c r="I41" s="30"/>
      <c r="J41" s="31"/>
      <c r="K41" s="31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>
        <v>3</v>
      </c>
      <c r="W41" s="130"/>
      <c r="X41" s="130"/>
      <c r="Y41" s="130"/>
      <c r="Z41" s="44">
        <v>200</v>
      </c>
      <c r="AA41" s="177"/>
      <c r="AB41" s="177"/>
      <c r="AC41" s="62">
        <f>Z41*V41</f>
        <v>600</v>
      </c>
      <c r="AD41" s="32"/>
    </row>
    <row r="42" spans="1:31" s="2" customFormat="1" ht="21.75" customHeight="1" x14ac:dyDescent="0.2">
      <c r="A42" s="135"/>
      <c r="B42" s="366"/>
      <c r="C42" s="59">
        <v>34</v>
      </c>
      <c r="D42" s="29" t="s">
        <v>74</v>
      </c>
      <c r="E42" s="141">
        <v>20</v>
      </c>
      <c r="F42" s="142">
        <v>4</v>
      </c>
      <c r="G42" s="136">
        <v>4</v>
      </c>
      <c r="H42" s="113" t="s">
        <v>193</v>
      </c>
      <c r="I42" s="130"/>
      <c r="J42" s="31"/>
      <c r="K42" s="31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30">
        <v>2</v>
      </c>
      <c r="W42" s="130"/>
      <c r="X42" s="130"/>
      <c r="Y42" s="130"/>
      <c r="Z42" s="111">
        <v>200</v>
      </c>
      <c r="AA42" s="37">
        <f>Z42*V42</f>
        <v>400</v>
      </c>
      <c r="AB42" s="130"/>
      <c r="AC42" s="130"/>
      <c r="AD42" s="32"/>
    </row>
    <row r="43" spans="1:31" s="2" customFormat="1" ht="21.75" customHeight="1" x14ac:dyDescent="0.2">
      <c r="A43" s="135"/>
      <c r="B43" s="366"/>
      <c r="C43" s="59">
        <v>35</v>
      </c>
      <c r="D43" s="29" t="s">
        <v>75</v>
      </c>
      <c r="E43" s="141">
        <v>20</v>
      </c>
      <c r="F43" s="142">
        <v>4</v>
      </c>
      <c r="G43" s="136">
        <v>4</v>
      </c>
      <c r="H43" s="113" t="s">
        <v>179</v>
      </c>
      <c r="I43" s="113"/>
      <c r="J43" s="31"/>
      <c r="K43" s="31"/>
      <c r="L43" s="130"/>
      <c r="M43" s="130"/>
      <c r="N43" s="130"/>
      <c r="O43" s="130"/>
      <c r="P43" s="130"/>
      <c r="Q43" s="130"/>
      <c r="R43" s="130"/>
      <c r="S43" s="130"/>
      <c r="T43" s="130"/>
      <c r="U43" s="130"/>
      <c r="V43" s="130">
        <v>5</v>
      </c>
      <c r="W43" s="130"/>
      <c r="X43" s="130"/>
      <c r="Y43" s="130"/>
      <c r="Z43" s="111">
        <v>200</v>
      </c>
      <c r="AA43" s="130"/>
      <c r="AB43" s="37">
        <f>Z43*V43</f>
        <v>1000</v>
      </c>
      <c r="AC43" s="177"/>
      <c r="AD43" s="32"/>
    </row>
    <row r="44" spans="1:31" s="2" customFormat="1" ht="21.75" customHeight="1" thickBot="1" x14ac:dyDescent="0.25">
      <c r="A44" s="135"/>
      <c r="B44" s="367"/>
      <c r="C44" s="60">
        <v>36</v>
      </c>
      <c r="D44" s="41" t="s">
        <v>76</v>
      </c>
      <c r="E44" s="46">
        <v>20</v>
      </c>
      <c r="F44" s="51">
        <v>4</v>
      </c>
      <c r="G44" s="51">
        <v>4</v>
      </c>
      <c r="H44" s="46" t="s">
        <v>179</v>
      </c>
      <c r="I44" s="46"/>
      <c r="J44" s="33"/>
      <c r="K44" s="33"/>
      <c r="L44" s="131"/>
      <c r="M44" s="131"/>
      <c r="N44" s="131"/>
      <c r="O44" s="131"/>
      <c r="P44" s="131"/>
      <c r="Q44" s="131"/>
      <c r="R44" s="131"/>
      <c r="S44" s="131"/>
      <c r="T44" s="131"/>
      <c r="U44" s="131"/>
      <c r="V44" s="131">
        <v>1</v>
      </c>
      <c r="W44" s="177"/>
      <c r="X44" s="177"/>
      <c r="Y44" s="177"/>
      <c r="Z44" s="65">
        <v>200</v>
      </c>
      <c r="AA44" s="131"/>
      <c r="AB44" s="131"/>
      <c r="AC44" s="38">
        <f>Z44*V44</f>
        <v>200</v>
      </c>
      <c r="AD44" s="54"/>
    </row>
    <row r="45" spans="1:31" s="2" customFormat="1" ht="21.75" customHeight="1" x14ac:dyDescent="0.2">
      <c r="A45" s="5"/>
      <c r="B45" s="6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24"/>
      <c r="W45" s="375" t="s">
        <v>45</v>
      </c>
      <c r="X45" s="376"/>
      <c r="Y45" s="376"/>
      <c r="Z45" s="377"/>
      <c r="AA45" s="155">
        <f>SUM(AA9:AA44)</f>
        <v>9900</v>
      </c>
      <c r="AB45" s="155">
        <f>SUM(AB9:AB44)</f>
        <v>8050</v>
      </c>
      <c r="AC45" s="155">
        <f>SUM(AC9:AC44)</f>
        <v>6700</v>
      </c>
      <c r="AD45" s="156">
        <f>SUM(AA45:AC45)</f>
        <v>24650</v>
      </c>
      <c r="AE45" s="157"/>
    </row>
    <row r="46" spans="1:31" s="2" customFormat="1" ht="21.75" customHeight="1" x14ac:dyDescent="0.2">
      <c r="A46" s="4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24"/>
      <c r="W46" s="378" t="s">
        <v>171</v>
      </c>
      <c r="X46" s="379"/>
      <c r="Y46" s="379"/>
      <c r="Z46" s="380"/>
      <c r="AA46" s="158">
        <f>AA45/0.8</f>
        <v>12375</v>
      </c>
      <c r="AB46" s="158">
        <f>AB45/0.8</f>
        <v>10062.5</v>
      </c>
      <c r="AC46" s="158">
        <f>AC45/0.8</f>
        <v>8375</v>
      </c>
      <c r="AD46" s="159">
        <f>SUM(AA46:AC46)</f>
        <v>30812.5</v>
      </c>
      <c r="AE46" s="157"/>
    </row>
    <row r="47" spans="1:31" s="2" customFormat="1" ht="20.100000000000001" customHeight="1" x14ac:dyDescent="0.2">
      <c r="A47" s="4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24"/>
      <c r="W47" s="378" t="s">
        <v>170</v>
      </c>
      <c r="X47" s="379"/>
      <c r="Y47" s="379"/>
      <c r="Z47" s="380"/>
      <c r="AA47" s="355">
        <v>0.75</v>
      </c>
      <c r="AB47" s="356"/>
      <c r="AC47" s="357"/>
      <c r="AD47" s="160"/>
    </row>
    <row r="48" spans="1:31" s="2" customFormat="1" ht="20.100000000000001" customHeight="1" thickBot="1" x14ac:dyDescent="0.25">
      <c r="A48" s="15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7"/>
      <c r="W48" s="358" t="s">
        <v>172</v>
      </c>
      <c r="X48" s="359"/>
      <c r="Y48" s="359"/>
      <c r="Z48" s="360"/>
      <c r="AA48" s="361">
        <f>(AA47*AD46)/1000</f>
        <v>23.109375</v>
      </c>
      <c r="AB48" s="362"/>
      <c r="AC48" s="161" t="s">
        <v>43</v>
      </c>
      <c r="AD48" s="162"/>
    </row>
    <row r="49" spans="1:30" s="2" customFormat="1" ht="20.100000000000001" customHeight="1" x14ac:dyDescent="0.2">
      <c r="A49" s="4" t="s">
        <v>78</v>
      </c>
      <c r="B49" s="18" t="s">
        <v>79</v>
      </c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0"/>
      <c r="Z49" s="180"/>
      <c r="AA49" s="19"/>
      <c r="AB49" s="19"/>
      <c r="AC49" s="19"/>
      <c r="AD49" s="127"/>
    </row>
    <row r="50" spans="1:30" s="2" customFormat="1" ht="33.75" customHeight="1" x14ac:dyDescent="0.2">
      <c r="A50" s="25" t="s">
        <v>77</v>
      </c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18"/>
      <c r="Z50" s="18"/>
      <c r="AA50" s="19"/>
      <c r="AB50" s="19"/>
      <c r="AC50" s="19"/>
      <c r="AD50" s="127"/>
    </row>
    <row r="51" spans="1:30" s="2" customFormat="1" ht="20.100000000000001" customHeight="1" thickBot="1" x14ac:dyDescent="0.25">
      <c r="A51" s="21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16"/>
      <c r="Z51" s="16"/>
      <c r="AA51" s="23"/>
      <c r="AB51" s="23"/>
      <c r="AC51" s="23"/>
      <c r="AD51" s="128"/>
    </row>
  </sheetData>
  <mergeCells count="39">
    <mergeCell ref="B33:B38"/>
    <mergeCell ref="B39:B44"/>
    <mergeCell ref="W45:Z45"/>
    <mergeCell ref="W46:Z46"/>
    <mergeCell ref="W47:Z47"/>
    <mergeCell ref="AA47:AC47"/>
    <mergeCell ref="W48:Z48"/>
    <mergeCell ref="AA48:AB48"/>
    <mergeCell ref="AC7:AC8"/>
    <mergeCell ref="A9:A32"/>
    <mergeCell ref="B9:B14"/>
    <mergeCell ref="B15:B20"/>
    <mergeCell ref="B21:B26"/>
    <mergeCell ref="B27:B32"/>
    <mergeCell ref="V6:V8"/>
    <mergeCell ref="W6:W8"/>
    <mergeCell ref="X6:X8"/>
    <mergeCell ref="G5:G8"/>
    <mergeCell ref="H5:H8"/>
    <mergeCell ref="I5:Y5"/>
    <mergeCell ref="Z5:Z8"/>
    <mergeCell ref="A5:A8"/>
    <mergeCell ref="B5:B8"/>
    <mergeCell ref="C5:C8"/>
    <mergeCell ref="D5:D8"/>
    <mergeCell ref="E5:E8"/>
    <mergeCell ref="F5:F8"/>
    <mergeCell ref="H1:Y1"/>
    <mergeCell ref="H2:Y2"/>
    <mergeCell ref="AA2:AB2"/>
    <mergeCell ref="AC2:AD2"/>
    <mergeCell ref="AC3:AD3"/>
    <mergeCell ref="Z4:AA4"/>
    <mergeCell ref="AB4:AD4"/>
    <mergeCell ref="AA5:AC5"/>
    <mergeCell ref="AD5:AD8"/>
    <mergeCell ref="Y6:Y8"/>
    <mergeCell ref="AA7:AA8"/>
    <mergeCell ref="AB7:AB8"/>
  </mergeCells>
  <dataValidations disablePrompts="1" count="2">
    <dataValidation type="whole" allowBlank="1" showInputMessage="1" showErrorMessage="1" error="MINIMUM VALUE= 1_x000a_MAXIMU VALUE = 12_x000a_" sqref="I9">
      <formula1>1</formula1>
      <formula2>20</formula2>
    </dataValidation>
    <dataValidation type="whole" allowBlank="1" showInputMessage="1" showErrorMessage="1" error="MINIMUM VALUE= 1_x000a_MAXIMU VALUE = 12_x000a_" sqref="I16:I17 I19 I25 I22:I23 I28:I29 I31:I32 J9:K44 I40:I41 I43:I44 I37:I38 I34:I35">
      <formula1>1</formula1>
      <formula2>12</formula2>
    </dataValidation>
  </dataValidations>
  <printOptions horizontalCentered="1"/>
  <pageMargins left="0.53" right="0.14000000000000001" top="0.52" bottom="0.21" header="0.17" footer="0.17"/>
  <pageSetup paperSize="9" scale="42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Z51"/>
  <sheetViews>
    <sheetView view="pageBreakPreview" zoomScale="55" zoomScaleNormal="100" zoomScaleSheetLayoutView="55" workbookViewId="0">
      <pane xSplit="4" ySplit="8" topLeftCell="E9" activePane="bottomRight" state="frozen"/>
      <selection pane="topRight" activeCell="E1" sqref="E1"/>
      <selection pane="bottomLeft" activeCell="A9" sqref="A9"/>
      <selection pane="bottomRight" activeCell="H39" sqref="H39:H41"/>
    </sheetView>
  </sheetViews>
  <sheetFormatPr defaultRowHeight="12.75" x14ac:dyDescent="0.2"/>
  <cols>
    <col min="1" max="1" width="12.140625" style="163" customWidth="1"/>
    <col min="2" max="2" width="9" style="163" customWidth="1"/>
    <col min="3" max="5" width="6.42578125" style="163" customWidth="1"/>
    <col min="6" max="7" width="6.7109375" style="163" customWidth="1"/>
    <col min="8" max="8" width="58.42578125" style="163" customWidth="1"/>
    <col min="9" max="18" width="9.5703125" style="163" customWidth="1"/>
    <col min="19" max="19" width="9.7109375" style="163" customWidth="1"/>
    <col min="20" max="20" width="7.5703125" style="163" customWidth="1"/>
    <col min="21" max="21" width="12.28515625" style="163" customWidth="1"/>
    <col min="22" max="22" width="9.28515625" style="163" customWidth="1"/>
    <col min="23" max="24" width="7.7109375" style="163" customWidth="1"/>
    <col min="25" max="25" width="16.85546875" style="163" customWidth="1"/>
    <col min="26" max="16384" width="9.140625" style="163"/>
  </cols>
  <sheetData>
    <row r="1" spans="1:25" s="151" customFormat="1" ht="19.5" customHeight="1" x14ac:dyDescent="0.25">
      <c r="A1" s="10" t="s">
        <v>32</v>
      </c>
      <c r="B1" s="11" t="s">
        <v>50</v>
      </c>
      <c r="C1" s="7"/>
      <c r="D1" s="7"/>
      <c r="E1" s="7"/>
      <c r="F1" s="7"/>
      <c r="G1" s="7"/>
      <c r="H1" s="332" t="s">
        <v>56</v>
      </c>
      <c r="I1" s="332"/>
      <c r="J1" s="332"/>
      <c r="K1" s="332"/>
      <c r="L1" s="332"/>
      <c r="M1" s="332"/>
      <c r="N1" s="332"/>
      <c r="O1" s="332"/>
      <c r="P1" s="332"/>
      <c r="Q1" s="332"/>
      <c r="R1" s="332"/>
      <c r="S1" s="332"/>
      <c r="T1" s="332"/>
      <c r="U1" s="7"/>
      <c r="V1" s="7"/>
      <c r="W1" s="7"/>
      <c r="X1" s="7"/>
      <c r="Y1" s="8"/>
    </row>
    <row r="2" spans="1:25" s="2" customFormat="1" ht="19.5" customHeight="1" x14ac:dyDescent="0.25">
      <c r="A2" s="9" t="s">
        <v>194</v>
      </c>
      <c r="B2" s="3"/>
      <c r="C2" s="1"/>
      <c r="H2" s="333" t="s">
        <v>55</v>
      </c>
      <c r="I2" s="333"/>
      <c r="J2" s="333"/>
      <c r="K2" s="333"/>
      <c r="L2" s="333"/>
      <c r="M2" s="333"/>
      <c r="N2" s="333"/>
      <c r="O2" s="333"/>
      <c r="P2" s="333"/>
      <c r="Q2" s="333"/>
      <c r="R2" s="333"/>
      <c r="S2" s="333"/>
      <c r="T2" s="333"/>
      <c r="V2" s="334"/>
      <c r="W2" s="334"/>
      <c r="X2" s="335"/>
      <c r="Y2" s="336"/>
    </row>
    <row r="3" spans="1:25" s="2" customFormat="1" ht="19.5" customHeight="1" x14ac:dyDescent="0.25">
      <c r="A3" s="9" t="s">
        <v>195</v>
      </c>
      <c r="B3" s="3"/>
      <c r="C3" s="3"/>
      <c r="D3" s="3"/>
      <c r="E3" s="3"/>
      <c r="F3" s="3"/>
      <c r="V3" s="3"/>
      <c r="W3" s="3"/>
      <c r="X3" s="335"/>
      <c r="Y3" s="336"/>
    </row>
    <row r="4" spans="1:25" s="2" customFormat="1" ht="19.5" customHeight="1" thickBot="1" x14ac:dyDescent="0.3">
      <c r="A4" s="14" t="s">
        <v>285</v>
      </c>
      <c r="B4" s="12"/>
      <c r="C4" s="12"/>
      <c r="D4" s="12"/>
      <c r="E4" s="12"/>
      <c r="F4" s="12"/>
      <c r="G4" s="12"/>
      <c r="H4" s="12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337" t="s">
        <v>57</v>
      </c>
      <c r="V4" s="337"/>
      <c r="W4" s="338" t="s">
        <v>143</v>
      </c>
      <c r="X4" s="338"/>
      <c r="Y4" s="339"/>
    </row>
    <row r="5" spans="1:25" s="2" customFormat="1" ht="21.75" customHeight="1" x14ac:dyDescent="0.2">
      <c r="A5" s="349" t="s">
        <v>0</v>
      </c>
      <c r="B5" s="352" t="s">
        <v>1</v>
      </c>
      <c r="C5" s="329" t="s">
        <v>2</v>
      </c>
      <c r="D5" s="329" t="s">
        <v>3</v>
      </c>
      <c r="E5" s="329" t="s">
        <v>4</v>
      </c>
      <c r="F5" s="329" t="s">
        <v>5</v>
      </c>
      <c r="G5" s="329" t="s">
        <v>6</v>
      </c>
      <c r="H5" s="371" t="s">
        <v>7</v>
      </c>
      <c r="I5" s="341"/>
      <c r="J5" s="341"/>
      <c r="K5" s="341"/>
      <c r="L5" s="341"/>
      <c r="M5" s="341"/>
      <c r="N5" s="341"/>
      <c r="O5" s="341"/>
      <c r="P5" s="341"/>
      <c r="Q5" s="341"/>
      <c r="R5" s="341"/>
      <c r="S5" s="341"/>
      <c r="T5" s="342"/>
      <c r="U5" s="329" t="s">
        <v>54</v>
      </c>
      <c r="V5" s="340" t="s">
        <v>9</v>
      </c>
      <c r="W5" s="341"/>
      <c r="X5" s="342"/>
      <c r="Y5" s="343" t="s">
        <v>10</v>
      </c>
    </row>
    <row r="6" spans="1:25" s="2" customFormat="1" ht="21.75" customHeight="1" x14ac:dyDescent="0.2">
      <c r="A6" s="350"/>
      <c r="B6" s="353"/>
      <c r="C6" s="330"/>
      <c r="D6" s="330"/>
      <c r="E6" s="330"/>
      <c r="F6" s="330"/>
      <c r="G6" s="330"/>
      <c r="H6" s="372"/>
      <c r="I6" s="129" t="s">
        <v>52</v>
      </c>
      <c r="J6" s="129" t="s">
        <v>52</v>
      </c>
      <c r="K6" s="129" t="s">
        <v>52</v>
      </c>
      <c r="L6" s="64" t="s">
        <v>60</v>
      </c>
      <c r="M6" s="64" t="s">
        <v>60</v>
      </c>
      <c r="N6" s="64" t="s">
        <v>61</v>
      </c>
      <c r="O6" s="64" t="s">
        <v>62</v>
      </c>
      <c r="P6" s="64" t="s">
        <v>49</v>
      </c>
      <c r="Q6" s="368" t="s">
        <v>13</v>
      </c>
      <c r="R6" s="368" t="s">
        <v>63</v>
      </c>
      <c r="S6" s="368" t="s">
        <v>174</v>
      </c>
      <c r="T6" s="346" t="s">
        <v>42</v>
      </c>
      <c r="U6" s="330"/>
      <c r="V6" s="179"/>
      <c r="W6" s="179"/>
      <c r="X6" s="179"/>
      <c r="Y6" s="344"/>
    </row>
    <row r="7" spans="1:25" s="2" customFormat="1" ht="21.75" customHeight="1" x14ac:dyDescent="0.2">
      <c r="A7" s="350"/>
      <c r="B7" s="353"/>
      <c r="C7" s="330"/>
      <c r="D7" s="330"/>
      <c r="E7" s="330"/>
      <c r="F7" s="330"/>
      <c r="G7" s="330"/>
      <c r="H7" s="372"/>
      <c r="I7" s="181">
        <v>1</v>
      </c>
      <c r="J7" s="181">
        <v>2</v>
      </c>
      <c r="K7" s="181">
        <v>3</v>
      </c>
      <c r="L7" s="178" t="s">
        <v>58</v>
      </c>
      <c r="M7" s="178" t="s">
        <v>59</v>
      </c>
      <c r="N7" s="178" t="s">
        <v>58</v>
      </c>
      <c r="O7" s="181"/>
      <c r="P7" s="181"/>
      <c r="Q7" s="369"/>
      <c r="R7" s="369"/>
      <c r="S7" s="369"/>
      <c r="T7" s="330"/>
      <c r="U7" s="330"/>
      <c r="V7" s="347" t="s">
        <v>14</v>
      </c>
      <c r="W7" s="347" t="s">
        <v>15</v>
      </c>
      <c r="X7" s="347" t="s">
        <v>16</v>
      </c>
      <c r="Y7" s="344"/>
    </row>
    <row r="8" spans="1:25" s="2" customFormat="1" ht="21.75" customHeight="1" thickBot="1" x14ac:dyDescent="0.25">
      <c r="A8" s="351"/>
      <c r="B8" s="354"/>
      <c r="C8" s="331"/>
      <c r="D8" s="331"/>
      <c r="E8" s="331"/>
      <c r="F8" s="331"/>
      <c r="G8" s="331"/>
      <c r="H8" s="373"/>
      <c r="I8" s="181"/>
      <c r="J8" s="181"/>
      <c r="K8" s="181"/>
      <c r="L8" s="181">
        <v>200</v>
      </c>
      <c r="M8" s="181">
        <v>400</v>
      </c>
      <c r="N8" s="181"/>
      <c r="O8" s="181"/>
      <c r="P8" s="181"/>
      <c r="Q8" s="370"/>
      <c r="R8" s="370"/>
      <c r="S8" s="370"/>
      <c r="T8" s="331"/>
      <c r="U8" s="331"/>
      <c r="V8" s="348"/>
      <c r="W8" s="348"/>
      <c r="X8" s="348"/>
      <c r="Y8" s="345"/>
    </row>
    <row r="9" spans="1:25" s="2" customFormat="1" ht="21.75" customHeight="1" x14ac:dyDescent="0.2">
      <c r="A9" s="363" t="s">
        <v>208</v>
      </c>
      <c r="B9" s="365" t="s">
        <v>51</v>
      </c>
      <c r="C9" s="58">
        <v>1</v>
      </c>
      <c r="D9" s="27" t="s">
        <v>17</v>
      </c>
      <c r="E9" s="381">
        <v>63</v>
      </c>
      <c r="F9" s="384">
        <v>16</v>
      </c>
      <c r="G9" s="384">
        <v>16</v>
      </c>
      <c r="H9" s="381" t="s">
        <v>197</v>
      </c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49"/>
      <c r="V9" s="36">
        <f>'1-SPA-3'!W33</f>
        <v>2476</v>
      </c>
      <c r="W9" s="182"/>
      <c r="X9" s="110"/>
      <c r="Y9" s="34"/>
    </row>
    <row r="10" spans="1:25" s="2" customFormat="1" ht="21.75" customHeight="1" x14ac:dyDescent="0.2">
      <c r="A10" s="364"/>
      <c r="B10" s="366"/>
      <c r="C10" s="59">
        <v>2</v>
      </c>
      <c r="D10" s="29" t="s">
        <v>18</v>
      </c>
      <c r="E10" s="382"/>
      <c r="F10" s="385"/>
      <c r="G10" s="385"/>
      <c r="H10" s="382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44"/>
      <c r="V10" s="130"/>
      <c r="W10" s="37">
        <f>'1-SPA-3'!X33</f>
        <v>2370</v>
      </c>
      <c r="X10" s="177"/>
      <c r="Y10" s="32"/>
    </row>
    <row r="11" spans="1:25" s="2" customFormat="1" ht="21.75" customHeight="1" thickBot="1" x14ac:dyDescent="0.25">
      <c r="A11" s="364"/>
      <c r="B11" s="367"/>
      <c r="C11" s="60">
        <v>3</v>
      </c>
      <c r="D11" s="41" t="s">
        <v>19</v>
      </c>
      <c r="E11" s="383"/>
      <c r="F11" s="386"/>
      <c r="G11" s="386"/>
      <c r="H11" s="383"/>
      <c r="I11" s="131"/>
      <c r="J11" s="131"/>
      <c r="K11" s="131"/>
      <c r="L11" s="131"/>
      <c r="M11" s="131"/>
      <c r="N11" s="131"/>
      <c r="O11" s="131"/>
      <c r="P11" s="131"/>
      <c r="Q11" s="131"/>
      <c r="R11" s="131"/>
      <c r="S11" s="131"/>
      <c r="T11" s="131"/>
      <c r="U11" s="45"/>
      <c r="V11" s="131"/>
      <c r="W11" s="131"/>
      <c r="X11" s="38">
        <f>'1-SPA-3'!Y33</f>
        <v>3445</v>
      </c>
      <c r="Y11" s="35"/>
    </row>
    <row r="12" spans="1:25" s="2" customFormat="1" ht="21.75" customHeight="1" x14ac:dyDescent="0.2">
      <c r="A12" s="364"/>
      <c r="B12" s="366" t="s">
        <v>64</v>
      </c>
      <c r="C12" s="61">
        <v>4</v>
      </c>
      <c r="D12" s="43" t="s">
        <v>20</v>
      </c>
      <c r="E12" s="141">
        <v>20</v>
      </c>
      <c r="F12" s="142">
        <v>4</v>
      </c>
      <c r="G12" s="142">
        <v>4</v>
      </c>
      <c r="H12" s="141" t="s">
        <v>198</v>
      </c>
      <c r="I12" s="47"/>
      <c r="J12" s="47"/>
      <c r="K12" s="47"/>
      <c r="L12" s="47"/>
      <c r="M12" s="47"/>
      <c r="N12" s="47"/>
      <c r="O12" s="47"/>
      <c r="P12" s="47"/>
      <c r="Q12" s="47"/>
      <c r="R12" s="47">
        <v>3</v>
      </c>
      <c r="S12" s="126"/>
      <c r="T12" s="126"/>
      <c r="U12" s="50">
        <v>50</v>
      </c>
      <c r="V12" s="52">
        <f>U12*R12</f>
        <v>150</v>
      </c>
      <c r="W12" s="126"/>
      <c r="X12" s="126"/>
      <c r="Y12" s="124"/>
    </row>
    <row r="13" spans="1:25" s="2" customFormat="1" ht="21.75" customHeight="1" x14ac:dyDescent="0.2">
      <c r="A13" s="364"/>
      <c r="B13" s="366"/>
      <c r="C13" s="59">
        <v>5</v>
      </c>
      <c r="D13" s="29" t="s">
        <v>21</v>
      </c>
      <c r="E13" s="113">
        <v>20</v>
      </c>
      <c r="F13" s="115">
        <v>4</v>
      </c>
      <c r="G13" s="115">
        <v>4</v>
      </c>
      <c r="H13" s="113" t="s">
        <v>199</v>
      </c>
      <c r="I13" s="130"/>
      <c r="J13" s="130"/>
      <c r="K13" s="130"/>
      <c r="L13" s="130"/>
      <c r="M13" s="130">
        <v>2</v>
      </c>
      <c r="N13" s="130"/>
      <c r="O13" s="130"/>
      <c r="P13" s="130"/>
      <c r="Q13" s="130"/>
      <c r="R13" s="130"/>
      <c r="S13" s="130"/>
      <c r="T13" s="130"/>
      <c r="U13" s="44"/>
      <c r="V13" s="130"/>
      <c r="W13" s="37">
        <f>M13*M8</f>
        <v>800</v>
      </c>
      <c r="X13" s="177"/>
      <c r="Y13" s="132"/>
    </row>
    <row r="14" spans="1:25" s="2" customFormat="1" ht="21.75" customHeight="1" thickBot="1" x14ac:dyDescent="0.25">
      <c r="A14" s="364"/>
      <c r="B14" s="367"/>
      <c r="C14" s="60">
        <v>6</v>
      </c>
      <c r="D14" s="41" t="s">
        <v>22</v>
      </c>
      <c r="E14" s="46">
        <v>20</v>
      </c>
      <c r="F14" s="51">
        <v>4</v>
      </c>
      <c r="G14" s="51">
        <v>4</v>
      </c>
      <c r="H14" s="113" t="s">
        <v>199</v>
      </c>
      <c r="I14" s="131"/>
      <c r="J14" s="131"/>
      <c r="K14" s="131"/>
      <c r="L14" s="131"/>
      <c r="M14" s="131">
        <v>1</v>
      </c>
      <c r="N14" s="131"/>
      <c r="O14" s="131"/>
      <c r="P14" s="131"/>
      <c r="Q14" s="131"/>
      <c r="R14" s="131"/>
      <c r="S14" s="131"/>
      <c r="T14" s="131"/>
      <c r="U14" s="45"/>
      <c r="V14" s="131"/>
      <c r="W14" s="131"/>
      <c r="X14" s="38">
        <f>M14*M8</f>
        <v>400</v>
      </c>
      <c r="Y14" s="35"/>
    </row>
    <row r="15" spans="1:25" s="2" customFormat="1" ht="21.75" customHeight="1" x14ac:dyDescent="0.2">
      <c r="A15" s="364"/>
      <c r="B15" s="365" t="s">
        <v>64</v>
      </c>
      <c r="C15" s="58">
        <v>7</v>
      </c>
      <c r="D15" s="27" t="s">
        <v>33</v>
      </c>
      <c r="E15" s="381">
        <v>20</v>
      </c>
      <c r="F15" s="384">
        <v>4</v>
      </c>
      <c r="G15" s="384">
        <v>4</v>
      </c>
      <c r="H15" s="381" t="s">
        <v>200</v>
      </c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387">
        <v>1</v>
      </c>
      <c r="T15" s="110"/>
      <c r="U15" s="390">
        <v>9000</v>
      </c>
      <c r="V15" s="36">
        <f>U15/3</f>
        <v>3000</v>
      </c>
      <c r="W15" s="110"/>
      <c r="X15" s="110"/>
      <c r="Y15" s="34"/>
    </row>
    <row r="16" spans="1:25" s="2" customFormat="1" ht="21.75" customHeight="1" x14ac:dyDescent="0.2">
      <c r="A16" s="364"/>
      <c r="B16" s="366"/>
      <c r="C16" s="59">
        <v>8</v>
      </c>
      <c r="D16" s="29" t="s">
        <v>34</v>
      </c>
      <c r="E16" s="382"/>
      <c r="F16" s="385"/>
      <c r="G16" s="385"/>
      <c r="H16" s="382"/>
      <c r="I16" s="130"/>
      <c r="J16" s="130"/>
      <c r="K16" s="130"/>
      <c r="L16" s="130"/>
      <c r="M16" s="130"/>
      <c r="N16" s="130"/>
      <c r="O16" s="130"/>
      <c r="P16" s="130"/>
      <c r="Q16" s="130"/>
      <c r="R16" s="130"/>
      <c r="S16" s="388"/>
      <c r="T16" s="130"/>
      <c r="U16" s="391"/>
      <c r="V16" s="130"/>
      <c r="W16" s="52">
        <f>U15/3</f>
        <v>3000</v>
      </c>
      <c r="X16" s="177"/>
      <c r="Y16" s="32"/>
    </row>
    <row r="17" spans="1:25" s="2" customFormat="1" ht="21.75" customHeight="1" thickBot="1" x14ac:dyDescent="0.25">
      <c r="A17" s="364"/>
      <c r="B17" s="367"/>
      <c r="C17" s="60">
        <v>9</v>
      </c>
      <c r="D17" s="41" t="s">
        <v>35</v>
      </c>
      <c r="E17" s="383"/>
      <c r="F17" s="386"/>
      <c r="G17" s="386"/>
      <c r="H17" s="383"/>
      <c r="I17" s="131"/>
      <c r="J17" s="131"/>
      <c r="K17" s="131"/>
      <c r="L17" s="131"/>
      <c r="M17" s="131"/>
      <c r="N17" s="131"/>
      <c r="O17" s="131"/>
      <c r="P17" s="131"/>
      <c r="Q17" s="131"/>
      <c r="R17" s="131"/>
      <c r="S17" s="389"/>
      <c r="T17" s="131"/>
      <c r="U17" s="392"/>
      <c r="V17" s="131"/>
      <c r="W17" s="131"/>
      <c r="X17" s="38">
        <f>U15/3</f>
        <v>3000</v>
      </c>
      <c r="Y17" s="35"/>
    </row>
    <row r="18" spans="1:25" s="2" customFormat="1" ht="21.75" customHeight="1" x14ac:dyDescent="0.2">
      <c r="A18" s="364"/>
      <c r="B18" s="366" t="s">
        <v>64</v>
      </c>
      <c r="C18" s="61">
        <v>10</v>
      </c>
      <c r="D18" s="43" t="s">
        <v>23</v>
      </c>
      <c r="E18" s="381">
        <v>20</v>
      </c>
      <c r="F18" s="384">
        <v>4</v>
      </c>
      <c r="G18" s="384">
        <v>4</v>
      </c>
      <c r="H18" s="381" t="s">
        <v>201</v>
      </c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387">
        <v>1</v>
      </c>
      <c r="T18" s="126"/>
      <c r="U18" s="390">
        <v>4900</v>
      </c>
      <c r="V18" s="52">
        <f>U18/3</f>
        <v>1633.3333333333333</v>
      </c>
      <c r="W18" s="126"/>
      <c r="X18" s="126"/>
      <c r="Y18" s="53"/>
    </row>
    <row r="19" spans="1:25" s="2" customFormat="1" ht="21.75" customHeight="1" x14ac:dyDescent="0.2">
      <c r="A19" s="364"/>
      <c r="B19" s="366"/>
      <c r="C19" s="59">
        <v>11</v>
      </c>
      <c r="D19" s="29" t="s">
        <v>24</v>
      </c>
      <c r="E19" s="382"/>
      <c r="F19" s="385"/>
      <c r="G19" s="385"/>
      <c r="H19" s="382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388"/>
      <c r="T19" s="130"/>
      <c r="U19" s="391"/>
      <c r="V19" s="130"/>
      <c r="W19" s="37">
        <f>U18/3</f>
        <v>1633.3333333333333</v>
      </c>
      <c r="X19" s="177"/>
      <c r="Y19" s="32"/>
    </row>
    <row r="20" spans="1:25" s="2" customFormat="1" ht="21.75" customHeight="1" thickBot="1" x14ac:dyDescent="0.25">
      <c r="A20" s="364"/>
      <c r="B20" s="367"/>
      <c r="C20" s="60">
        <v>12</v>
      </c>
      <c r="D20" s="41" t="s">
        <v>25</v>
      </c>
      <c r="E20" s="383"/>
      <c r="F20" s="386"/>
      <c r="G20" s="386"/>
      <c r="H20" s="383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389"/>
      <c r="T20" s="177"/>
      <c r="U20" s="392"/>
      <c r="V20" s="131"/>
      <c r="W20" s="131"/>
      <c r="X20" s="38">
        <f>U18/3</f>
        <v>1633.3333333333333</v>
      </c>
      <c r="Y20" s="54"/>
    </row>
    <row r="21" spans="1:25" s="2" customFormat="1" ht="21.75" customHeight="1" x14ac:dyDescent="0.2">
      <c r="A21" s="364"/>
      <c r="B21" s="366" t="s">
        <v>64</v>
      </c>
      <c r="C21" s="58">
        <v>13</v>
      </c>
      <c r="D21" s="27" t="s">
        <v>26</v>
      </c>
      <c r="E21" s="381">
        <v>20</v>
      </c>
      <c r="F21" s="384">
        <v>4</v>
      </c>
      <c r="G21" s="384">
        <v>4</v>
      </c>
      <c r="H21" s="381" t="s">
        <v>85</v>
      </c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387">
        <v>1</v>
      </c>
      <c r="T21" s="110"/>
      <c r="U21" s="390">
        <v>9000</v>
      </c>
      <c r="V21" s="36">
        <f>U21/3</f>
        <v>3000</v>
      </c>
      <c r="W21" s="110"/>
      <c r="X21" s="110"/>
      <c r="Y21" s="34"/>
    </row>
    <row r="22" spans="1:25" s="2" customFormat="1" ht="21.75" customHeight="1" x14ac:dyDescent="0.2">
      <c r="A22" s="364"/>
      <c r="B22" s="366"/>
      <c r="C22" s="59">
        <v>14</v>
      </c>
      <c r="D22" s="29" t="s">
        <v>27</v>
      </c>
      <c r="E22" s="382"/>
      <c r="F22" s="385"/>
      <c r="G22" s="385"/>
      <c r="H22" s="382"/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388"/>
      <c r="T22" s="130"/>
      <c r="U22" s="391"/>
      <c r="V22" s="130"/>
      <c r="W22" s="52">
        <f>U21/3</f>
        <v>3000</v>
      </c>
      <c r="X22" s="177"/>
      <c r="Y22" s="32"/>
    </row>
    <row r="23" spans="1:25" s="2" customFormat="1" ht="21.75" customHeight="1" thickBot="1" x14ac:dyDescent="0.25">
      <c r="A23" s="364"/>
      <c r="B23" s="367"/>
      <c r="C23" s="60">
        <v>15</v>
      </c>
      <c r="D23" s="41" t="s">
        <v>28</v>
      </c>
      <c r="E23" s="383"/>
      <c r="F23" s="386"/>
      <c r="G23" s="386"/>
      <c r="H23" s="383"/>
      <c r="I23" s="131"/>
      <c r="J23" s="131"/>
      <c r="K23" s="131"/>
      <c r="L23" s="131"/>
      <c r="M23" s="131"/>
      <c r="N23" s="131"/>
      <c r="O23" s="131"/>
      <c r="P23" s="131"/>
      <c r="Q23" s="131"/>
      <c r="R23" s="131"/>
      <c r="S23" s="389"/>
      <c r="T23" s="131"/>
      <c r="U23" s="392"/>
      <c r="V23" s="131"/>
      <c r="W23" s="131"/>
      <c r="X23" s="38">
        <f>U21/3</f>
        <v>3000</v>
      </c>
      <c r="Y23" s="35"/>
    </row>
    <row r="24" spans="1:25" s="2" customFormat="1" ht="21.75" customHeight="1" x14ac:dyDescent="0.2">
      <c r="A24" s="364"/>
      <c r="B24" s="366" t="s">
        <v>64</v>
      </c>
      <c r="C24" s="61">
        <v>16</v>
      </c>
      <c r="D24" s="43" t="s">
        <v>29</v>
      </c>
      <c r="E24" s="141">
        <v>20</v>
      </c>
      <c r="F24" s="142">
        <v>4</v>
      </c>
      <c r="G24" s="142">
        <v>4</v>
      </c>
      <c r="H24" s="112" t="s">
        <v>291</v>
      </c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>
        <v>1</v>
      </c>
      <c r="T24" s="126"/>
      <c r="U24" s="50">
        <v>800</v>
      </c>
      <c r="V24" s="52">
        <f>U24*S24</f>
        <v>800</v>
      </c>
      <c r="W24" s="126"/>
      <c r="X24" s="126"/>
      <c r="Y24" s="53"/>
    </row>
    <row r="25" spans="1:25" s="2" customFormat="1" ht="21.75" customHeight="1" x14ac:dyDescent="0.2">
      <c r="A25" s="364"/>
      <c r="B25" s="366"/>
      <c r="C25" s="59">
        <v>17</v>
      </c>
      <c r="D25" s="29" t="s">
        <v>30</v>
      </c>
      <c r="E25" s="141">
        <v>20</v>
      </c>
      <c r="F25" s="142">
        <v>4</v>
      </c>
      <c r="G25" s="142">
        <v>4</v>
      </c>
      <c r="H25" s="113" t="s">
        <v>292</v>
      </c>
      <c r="I25" s="130"/>
      <c r="J25" s="130"/>
      <c r="K25" s="130"/>
      <c r="L25" s="130"/>
      <c r="M25" s="130"/>
      <c r="N25" s="130"/>
      <c r="O25" s="130"/>
      <c r="P25" s="130"/>
      <c r="Q25" s="130"/>
      <c r="R25" s="130"/>
      <c r="S25" s="130">
        <v>1</v>
      </c>
      <c r="T25" s="130"/>
      <c r="U25" s="44">
        <v>1220</v>
      </c>
      <c r="V25" s="130"/>
      <c r="W25" s="37">
        <f>U25*S25</f>
        <v>1220</v>
      </c>
      <c r="X25" s="177"/>
      <c r="Y25" s="32"/>
    </row>
    <row r="26" spans="1:25" s="2" customFormat="1" ht="21.75" customHeight="1" thickBot="1" x14ac:dyDescent="0.25">
      <c r="A26" s="364"/>
      <c r="B26" s="367"/>
      <c r="C26" s="60">
        <v>18</v>
      </c>
      <c r="D26" s="41" t="s">
        <v>31</v>
      </c>
      <c r="E26" s="46">
        <v>20</v>
      </c>
      <c r="F26" s="51">
        <v>4</v>
      </c>
      <c r="G26" s="51">
        <v>4</v>
      </c>
      <c r="H26" s="46" t="s">
        <v>293</v>
      </c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>
        <v>1</v>
      </c>
      <c r="T26" s="177"/>
      <c r="U26" s="57">
        <v>1220</v>
      </c>
      <c r="V26" s="131"/>
      <c r="W26" s="131"/>
      <c r="X26" s="134">
        <f>U26*S26</f>
        <v>1220</v>
      </c>
      <c r="Y26" s="54"/>
    </row>
    <row r="27" spans="1:25" s="2" customFormat="1" ht="21.75" customHeight="1" x14ac:dyDescent="0.2">
      <c r="A27" s="364"/>
      <c r="B27" s="365" t="s">
        <v>64</v>
      </c>
      <c r="C27" s="58">
        <v>19</v>
      </c>
      <c r="D27" s="27" t="s">
        <v>36</v>
      </c>
      <c r="E27" s="112">
        <v>20</v>
      </c>
      <c r="F27" s="114">
        <v>4</v>
      </c>
      <c r="G27" s="114">
        <v>4</v>
      </c>
      <c r="H27" s="112" t="s">
        <v>294</v>
      </c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>
        <v>1</v>
      </c>
      <c r="T27" s="110"/>
      <c r="U27" s="49">
        <v>800</v>
      </c>
      <c r="V27" s="36">
        <f>U27*S27</f>
        <v>800</v>
      </c>
      <c r="W27" s="182"/>
      <c r="X27" s="110"/>
      <c r="Y27" s="34"/>
    </row>
    <row r="28" spans="1:25" s="2" customFormat="1" ht="21.75" customHeight="1" x14ac:dyDescent="0.2">
      <c r="A28" s="364"/>
      <c r="B28" s="366"/>
      <c r="C28" s="59">
        <v>20</v>
      </c>
      <c r="D28" s="29" t="s">
        <v>37</v>
      </c>
      <c r="E28" s="141">
        <v>20</v>
      </c>
      <c r="F28" s="142">
        <v>4</v>
      </c>
      <c r="G28" s="142">
        <v>4</v>
      </c>
      <c r="H28" s="113" t="s">
        <v>295</v>
      </c>
      <c r="I28" s="130"/>
      <c r="J28" s="130"/>
      <c r="K28" s="130"/>
      <c r="L28" s="130"/>
      <c r="M28" s="130"/>
      <c r="N28" s="130"/>
      <c r="O28" s="130"/>
      <c r="P28" s="130"/>
      <c r="Q28" s="130"/>
      <c r="R28" s="130"/>
      <c r="S28" s="130">
        <v>1</v>
      </c>
      <c r="T28" s="130"/>
      <c r="U28" s="44">
        <v>100</v>
      </c>
      <c r="V28" s="130"/>
      <c r="W28" s="37">
        <f>U28*S28</f>
        <v>100</v>
      </c>
      <c r="X28" s="177"/>
      <c r="Y28" s="32"/>
    </row>
    <row r="29" spans="1:25" s="2" customFormat="1" ht="21.75" customHeight="1" thickBot="1" x14ac:dyDescent="0.25">
      <c r="A29" s="364"/>
      <c r="B29" s="367"/>
      <c r="C29" s="60">
        <v>21</v>
      </c>
      <c r="D29" s="41" t="s">
        <v>38</v>
      </c>
      <c r="E29" s="46">
        <v>20</v>
      </c>
      <c r="F29" s="51">
        <v>4</v>
      </c>
      <c r="G29" s="51">
        <v>4</v>
      </c>
      <c r="H29" s="46" t="s">
        <v>138</v>
      </c>
      <c r="I29" s="131"/>
      <c r="J29" s="131"/>
      <c r="K29" s="131"/>
      <c r="L29" s="131"/>
      <c r="M29" s="131"/>
      <c r="N29" s="131"/>
      <c r="O29" s="131"/>
      <c r="P29" s="131"/>
      <c r="Q29" s="131"/>
      <c r="R29" s="131"/>
      <c r="S29" s="131">
        <v>1</v>
      </c>
      <c r="T29" s="131"/>
      <c r="U29" s="45">
        <v>100</v>
      </c>
      <c r="V29" s="131"/>
      <c r="W29" s="131"/>
      <c r="X29" s="38">
        <f>U29*S29</f>
        <v>100</v>
      </c>
      <c r="Y29" s="35"/>
    </row>
    <row r="30" spans="1:25" s="2" customFormat="1" ht="21.75" customHeight="1" x14ac:dyDescent="0.2">
      <c r="A30" s="364"/>
      <c r="B30" s="366" t="s">
        <v>64</v>
      </c>
      <c r="C30" s="61">
        <v>22</v>
      </c>
      <c r="D30" s="43" t="s">
        <v>39</v>
      </c>
      <c r="E30" s="141">
        <v>20</v>
      </c>
      <c r="F30" s="142">
        <v>4</v>
      </c>
      <c r="G30" s="142">
        <v>4</v>
      </c>
      <c r="H30" s="141" t="s">
        <v>202</v>
      </c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>
        <v>1</v>
      </c>
      <c r="T30" s="126"/>
      <c r="U30" s="138">
        <v>1500</v>
      </c>
      <c r="V30" s="52">
        <f>U30*S30</f>
        <v>1500</v>
      </c>
      <c r="W30" s="126"/>
      <c r="X30" s="126"/>
      <c r="Y30" s="53"/>
    </row>
    <row r="31" spans="1:25" s="2" customFormat="1" ht="21.75" customHeight="1" x14ac:dyDescent="0.2">
      <c r="A31" s="364"/>
      <c r="B31" s="366"/>
      <c r="C31" s="59">
        <v>23</v>
      </c>
      <c r="D31" s="29" t="s">
        <v>40</v>
      </c>
      <c r="E31" s="113"/>
      <c r="F31" s="115"/>
      <c r="G31" s="115"/>
      <c r="H31" s="113"/>
      <c r="I31" s="130"/>
      <c r="J31" s="130"/>
      <c r="K31" s="130"/>
      <c r="L31" s="130"/>
      <c r="M31" s="130"/>
      <c r="N31" s="130"/>
      <c r="O31" s="130"/>
      <c r="P31" s="130"/>
      <c r="Q31" s="130"/>
      <c r="R31" s="130"/>
      <c r="S31" s="130"/>
      <c r="T31" s="130"/>
      <c r="U31" s="111"/>
      <c r="V31" s="130"/>
      <c r="W31" s="37">
        <v>0</v>
      </c>
      <c r="X31" s="177"/>
      <c r="Y31" s="32"/>
    </row>
    <row r="32" spans="1:25" s="2" customFormat="1" ht="21.75" customHeight="1" thickBot="1" x14ac:dyDescent="0.25">
      <c r="A32" s="364"/>
      <c r="B32" s="367"/>
      <c r="C32" s="60">
        <v>24</v>
      </c>
      <c r="D32" s="41" t="s">
        <v>41</v>
      </c>
      <c r="E32" s="46"/>
      <c r="F32" s="51"/>
      <c r="G32" s="51"/>
      <c r="H32" s="46"/>
      <c r="I32" s="131"/>
      <c r="J32" s="131"/>
      <c r="K32" s="131"/>
      <c r="L32" s="131"/>
      <c r="M32" s="131"/>
      <c r="N32" s="131"/>
      <c r="O32" s="131"/>
      <c r="P32" s="131"/>
      <c r="Q32" s="131"/>
      <c r="R32" s="177"/>
      <c r="S32" s="177"/>
      <c r="T32" s="177"/>
      <c r="U32" s="65"/>
      <c r="V32" s="131"/>
      <c r="W32" s="131"/>
      <c r="X32" s="38">
        <v>0</v>
      </c>
      <c r="Y32" s="54"/>
    </row>
    <row r="33" spans="1:26" s="2" customFormat="1" ht="21.75" customHeight="1" x14ac:dyDescent="0.2">
      <c r="A33" s="135"/>
      <c r="B33" s="365" t="s">
        <v>64</v>
      </c>
      <c r="C33" s="61">
        <v>25</v>
      </c>
      <c r="D33" s="43" t="s">
        <v>65</v>
      </c>
      <c r="E33" s="141"/>
      <c r="F33" s="142"/>
      <c r="G33" s="142"/>
      <c r="H33" s="185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49"/>
      <c r="V33" s="36">
        <v>0</v>
      </c>
      <c r="W33" s="182"/>
      <c r="X33" s="110"/>
      <c r="Y33" s="34"/>
    </row>
    <row r="34" spans="1:26" s="2" customFormat="1" ht="21.75" customHeight="1" x14ac:dyDescent="0.2">
      <c r="A34" s="135"/>
      <c r="B34" s="366"/>
      <c r="C34" s="59">
        <v>26</v>
      </c>
      <c r="D34" s="29" t="s">
        <v>66</v>
      </c>
      <c r="E34" s="113">
        <v>40</v>
      </c>
      <c r="F34" s="142">
        <v>10</v>
      </c>
      <c r="G34" s="136">
        <v>10</v>
      </c>
      <c r="H34" s="113" t="s">
        <v>203</v>
      </c>
      <c r="I34" s="130"/>
      <c r="J34" s="130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44">
        <v>5750</v>
      </c>
      <c r="V34" s="130"/>
      <c r="W34" s="37">
        <f>U34</f>
        <v>5750</v>
      </c>
      <c r="X34" s="177"/>
      <c r="Y34" s="32"/>
    </row>
    <row r="35" spans="1:26" s="2" customFormat="1" ht="21.75" customHeight="1" thickBot="1" x14ac:dyDescent="0.25">
      <c r="A35" s="135"/>
      <c r="B35" s="367"/>
      <c r="C35" s="60">
        <v>27</v>
      </c>
      <c r="D35" s="41" t="s">
        <v>67</v>
      </c>
      <c r="E35" s="46"/>
      <c r="F35" s="51"/>
      <c r="G35" s="137"/>
      <c r="H35" s="46"/>
      <c r="I35" s="131"/>
      <c r="J35" s="131"/>
      <c r="K35" s="131"/>
      <c r="L35" s="131"/>
      <c r="M35" s="131"/>
      <c r="N35" s="131"/>
      <c r="O35" s="131"/>
      <c r="P35" s="131"/>
      <c r="Q35" s="131"/>
      <c r="R35" s="131"/>
      <c r="S35" s="131"/>
      <c r="T35" s="131"/>
      <c r="U35" s="45"/>
      <c r="V35" s="131"/>
      <c r="W35" s="131"/>
      <c r="X35" s="38">
        <f>M35*M8</f>
        <v>0</v>
      </c>
      <c r="Y35" s="35"/>
    </row>
    <row r="36" spans="1:26" s="2" customFormat="1" ht="21.75" customHeight="1" x14ac:dyDescent="0.2">
      <c r="A36" s="135"/>
      <c r="B36" s="366" t="s">
        <v>64</v>
      </c>
      <c r="C36" s="61">
        <v>28</v>
      </c>
      <c r="D36" s="43" t="s">
        <v>68</v>
      </c>
      <c r="E36" s="141">
        <v>20</v>
      </c>
      <c r="F36" s="142">
        <v>4</v>
      </c>
      <c r="G36" s="136">
        <v>4</v>
      </c>
      <c r="H36" s="141" t="s">
        <v>204</v>
      </c>
      <c r="I36" s="126"/>
      <c r="J36" s="126"/>
      <c r="K36" s="126"/>
      <c r="L36" s="126">
        <v>1</v>
      </c>
      <c r="M36" s="126">
        <v>1</v>
      </c>
      <c r="N36" s="126"/>
      <c r="O36" s="126"/>
      <c r="P36" s="126"/>
      <c r="Q36" s="126"/>
      <c r="R36" s="126"/>
      <c r="S36" s="126"/>
      <c r="T36" s="126"/>
      <c r="U36" s="164"/>
      <c r="V36" s="52">
        <f>L36*L8+M36*M8</f>
        <v>600</v>
      </c>
      <c r="W36" s="126"/>
      <c r="X36" s="126"/>
      <c r="Y36" s="53"/>
    </row>
    <row r="37" spans="1:26" s="2" customFormat="1" ht="21.75" customHeight="1" x14ac:dyDescent="0.2">
      <c r="A37" s="135"/>
      <c r="B37" s="366"/>
      <c r="C37" s="59">
        <v>29</v>
      </c>
      <c r="D37" s="29" t="s">
        <v>69</v>
      </c>
      <c r="E37" s="113">
        <v>20</v>
      </c>
      <c r="F37" s="142">
        <v>4</v>
      </c>
      <c r="G37" s="136">
        <v>4</v>
      </c>
      <c r="H37" s="113" t="s">
        <v>205</v>
      </c>
      <c r="I37" s="130"/>
      <c r="J37" s="130"/>
      <c r="K37" s="130"/>
      <c r="L37" s="130">
        <v>1</v>
      </c>
      <c r="M37" s="130"/>
      <c r="N37" s="130"/>
      <c r="O37" s="130"/>
      <c r="P37" s="130"/>
      <c r="Q37" s="130"/>
      <c r="R37" s="130"/>
      <c r="S37" s="130"/>
      <c r="T37" s="130"/>
      <c r="U37" s="111"/>
      <c r="V37" s="130"/>
      <c r="W37" s="37">
        <f>L37*L8</f>
        <v>200</v>
      </c>
      <c r="X37" s="177"/>
      <c r="Y37" s="32"/>
    </row>
    <row r="38" spans="1:26" s="2" customFormat="1" ht="21.75" customHeight="1" thickBot="1" x14ac:dyDescent="0.25">
      <c r="A38" s="135"/>
      <c r="B38" s="367"/>
      <c r="C38" s="60">
        <v>30</v>
      </c>
      <c r="D38" s="41" t="s">
        <v>70</v>
      </c>
      <c r="E38" s="46">
        <v>20</v>
      </c>
      <c r="F38" s="51">
        <v>4</v>
      </c>
      <c r="G38" s="51">
        <v>4</v>
      </c>
      <c r="H38" s="186" t="s">
        <v>138</v>
      </c>
      <c r="I38" s="131"/>
      <c r="J38" s="131"/>
      <c r="K38" s="131"/>
      <c r="L38" s="131">
        <v>1</v>
      </c>
      <c r="M38" s="131"/>
      <c r="N38" s="131"/>
      <c r="O38" s="131"/>
      <c r="P38" s="131"/>
      <c r="Q38" s="131"/>
      <c r="R38" s="177"/>
      <c r="S38" s="177"/>
      <c r="T38" s="177"/>
      <c r="U38" s="65"/>
      <c r="V38" s="131"/>
      <c r="W38" s="131"/>
      <c r="X38" s="38">
        <f>L38*L8</f>
        <v>200</v>
      </c>
      <c r="Y38" s="54"/>
    </row>
    <row r="39" spans="1:26" s="2" customFormat="1" ht="21.75" customHeight="1" x14ac:dyDescent="0.2">
      <c r="A39" s="135"/>
      <c r="B39" s="365" t="s">
        <v>64</v>
      </c>
      <c r="C39" s="58">
        <v>31</v>
      </c>
      <c r="D39" s="27" t="s">
        <v>71</v>
      </c>
      <c r="E39" s="381">
        <v>40</v>
      </c>
      <c r="F39" s="384">
        <v>10</v>
      </c>
      <c r="G39" s="384">
        <v>10</v>
      </c>
      <c r="H39" s="381" t="s">
        <v>206</v>
      </c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399">
        <v>1</v>
      </c>
      <c r="T39" s="110"/>
      <c r="U39" s="390">
        <v>12300</v>
      </c>
      <c r="V39" s="36">
        <f>U39/3</f>
        <v>4100</v>
      </c>
      <c r="W39" s="182"/>
      <c r="X39" s="110"/>
      <c r="Y39" s="34"/>
    </row>
    <row r="40" spans="1:26" s="2" customFormat="1" ht="21.75" customHeight="1" x14ac:dyDescent="0.2">
      <c r="A40" s="135"/>
      <c r="B40" s="366"/>
      <c r="C40" s="59">
        <v>32</v>
      </c>
      <c r="D40" s="29" t="s">
        <v>72</v>
      </c>
      <c r="E40" s="382"/>
      <c r="F40" s="385"/>
      <c r="G40" s="385"/>
      <c r="H40" s="382"/>
      <c r="I40" s="130"/>
      <c r="J40" s="130"/>
      <c r="K40" s="130"/>
      <c r="L40" s="130"/>
      <c r="M40" s="130"/>
      <c r="N40" s="130"/>
      <c r="O40" s="130"/>
      <c r="P40" s="130"/>
      <c r="Q40" s="130"/>
      <c r="R40" s="130"/>
      <c r="S40" s="400"/>
      <c r="T40" s="130"/>
      <c r="U40" s="391"/>
      <c r="V40" s="130"/>
      <c r="W40" s="37">
        <f>U39/3</f>
        <v>4100</v>
      </c>
      <c r="X40" s="177"/>
      <c r="Y40" s="32"/>
    </row>
    <row r="41" spans="1:26" s="2" customFormat="1" ht="21.75" customHeight="1" thickBot="1" x14ac:dyDescent="0.25">
      <c r="A41" s="135"/>
      <c r="B41" s="367"/>
      <c r="C41" s="60">
        <v>33</v>
      </c>
      <c r="D41" s="41" t="s">
        <v>73</v>
      </c>
      <c r="E41" s="383"/>
      <c r="F41" s="386"/>
      <c r="G41" s="386"/>
      <c r="H41" s="383"/>
      <c r="I41" s="131"/>
      <c r="J41" s="131"/>
      <c r="K41" s="131"/>
      <c r="L41" s="131"/>
      <c r="M41" s="131"/>
      <c r="N41" s="131"/>
      <c r="O41" s="131"/>
      <c r="P41" s="131"/>
      <c r="Q41" s="131"/>
      <c r="R41" s="131"/>
      <c r="S41" s="348"/>
      <c r="T41" s="131"/>
      <c r="U41" s="392"/>
      <c r="V41" s="131"/>
      <c r="W41" s="131"/>
      <c r="X41" s="38">
        <f>U39/3</f>
        <v>4100</v>
      </c>
      <c r="Y41" s="35"/>
    </row>
    <row r="42" spans="1:26" s="2" customFormat="1" ht="21.75" customHeight="1" x14ac:dyDescent="0.2">
      <c r="A42" s="135"/>
      <c r="B42" s="366" t="s">
        <v>64</v>
      </c>
      <c r="C42" s="165">
        <v>34</v>
      </c>
      <c r="D42" s="27" t="s">
        <v>74</v>
      </c>
      <c r="E42" s="387">
        <v>40</v>
      </c>
      <c r="F42" s="396">
        <v>10</v>
      </c>
      <c r="G42" s="396">
        <v>10</v>
      </c>
      <c r="H42" s="387" t="s">
        <v>207</v>
      </c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387">
        <v>1</v>
      </c>
      <c r="T42" s="48"/>
      <c r="U42" s="401">
        <v>12300</v>
      </c>
      <c r="V42" s="166">
        <f>U42/3</f>
        <v>4100</v>
      </c>
      <c r="W42" s="48"/>
      <c r="X42" s="48"/>
      <c r="Y42" s="34"/>
    </row>
    <row r="43" spans="1:26" s="2" customFormat="1" ht="21.75" customHeight="1" x14ac:dyDescent="0.2">
      <c r="A43" s="135"/>
      <c r="B43" s="366"/>
      <c r="C43" s="167">
        <v>35</v>
      </c>
      <c r="D43" s="29" t="s">
        <v>75</v>
      </c>
      <c r="E43" s="388"/>
      <c r="F43" s="397"/>
      <c r="G43" s="397"/>
      <c r="H43" s="388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388"/>
      <c r="T43" s="42"/>
      <c r="U43" s="402"/>
      <c r="V43" s="42"/>
      <c r="W43" s="168">
        <f>U42/3</f>
        <v>4100</v>
      </c>
      <c r="X43" s="63"/>
      <c r="Y43" s="32"/>
    </row>
    <row r="44" spans="1:26" s="2" customFormat="1" ht="21.75" customHeight="1" thickBot="1" x14ac:dyDescent="0.25">
      <c r="A44" s="135"/>
      <c r="B44" s="367"/>
      <c r="C44" s="169">
        <v>36</v>
      </c>
      <c r="D44" s="41" t="s">
        <v>76</v>
      </c>
      <c r="E44" s="389"/>
      <c r="F44" s="398"/>
      <c r="G44" s="398"/>
      <c r="H44" s="389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389"/>
      <c r="T44" s="170"/>
      <c r="U44" s="403"/>
      <c r="V44" s="170"/>
      <c r="W44" s="170"/>
      <c r="X44" s="134">
        <f>U42/3</f>
        <v>4100</v>
      </c>
      <c r="Y44" s="35"/>
    </row>
    <row r="45" spans="1:26" s="2" customFormat="1" ht="21.75" customHeight="1" x14ac:dyDescent="0.2">
      <c r="A45" s="5"/>
      <c r="B45" s="6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24"/>
      <c r="R45" s="375" t="s">
        <v>45</v>
      </c>
      <c r="S45" s="376"/>
      <c r="T45" s="376"/>
      <c r="U45" s="377"/>
      <c r="V45" s="155">
        <f>SUM(V9:V44)</f>
        <v>22159.333333333332</v>
      </c>
      <c r="W45" s="155">
        <f>SUM(W9:W44)</f>
        <v>26273.333333333332</v>
      </c>
      <c r="X45" s="155">
        <f>SUM(X9:X44)</f>
        <v>21198.333333333336</v>
      </c>
      <c r="Y45" s="156">
        <f>SUM(V45:X45)</f>
        <v>69631</v>
      </c>
      <c r="Z45" s="157"/>
    </row>
    <row r="46" spans="1:26" s="2" customFormat="1" ht="21.75" customHeight="1" x14ac:dyDescent="0.2">
      <c r="A46" s="4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24"/>
      <c r="R46" s="378" t="s">
        <v>171</v>
      </c>
      <c r="S46" s="379"/>
      <c r="T46" s="379"/>
      <c r="U46" s="380"/>
      <c r="V46" s="158">
        <f>V45/0.8</f>
        <v>27699.166666666664</v>
      </c>
      <c r="W46" s="158">
        <f>W45/0.8</f>
        <v>32841.666666666664</v>
      </c>
      <c r="X46" s="158">
        <f>X45/0.8</f>
        <v>26497.916666666668</v>
      </c>
      <c r="Y46" s="159">
        <f>SUM(V46:X46)</f>
        <v>87038.75</v>
      </c>
      <c r="Z46" s="157"/>
    </row>
    <row r="47" spans="1:26" s="2" customFormat="1" ht="20.100000000000001" customHeight="1" x14ac:dyDescent="0.2">
      <c r="A47" s="4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24"/>
      <c r="R47" s="378" t="s">
        <v>170</v>
      </c>
      <c r="S47" s="379"/>
      <c r="T47" s="379"/>
      <c r="U47" s="380"/>
      <c r="V47" s="393">
        <v>0.75</v>
      </c>
      <c r="W47" s="394"/>
      <c r="X47" s="395"/>
      <c r="Y47" s="160"/>
    </row>
    <row r="48" spans="1:26" s="2" customFormat="1" ht="20.100000000000001" customHeight="1" thickBot="1" x14ac:dyDescent="0.25">
      <c r="A48" s="15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7"/>
      <c r="R48" s="358" t="s">
        <v>172</v>
      </c>
      <c r="S48" s="359"/>
      <c r="T48" s="359"/>
      <c r="U48" s="360"/>
      <c r="V48" s="361">
        <f>(V47*Y46)/1000</f>
        <v>65.279062499999995</v>
      </c>
      <c r="W48" s="362"/>
      <c r="X48" s="161" t="s">
        <v>43</v>
      </c>
      <c r="Y48" s="162"/>
    </row>
    <row r="49" spans="1:25" s="2" customFormat="1" ht="20.100000000000001" customHeight="1" x14ac:dyDescent="0.2">
      <c r="A49" s="4" t="s">
        <v>78</v>
      </c>
      <c r="B49" s="18" t="s">
        <v>209</v>
      </c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0"/>
      <c r="U49" s="180"/>
      <c r="V49" s="19"/>
      <c r="W49" s="19"/>
      <c r="X49" s="19"/>
      <c r="Y49" s="127"/>
    </row>
    <row r="50" spans="1:25" s="2" customFormat="1" ht="33.75" customHeight="1" x14ac:dyDescent="0.2">
      <c r="A50" s="25" t="s">
        <v>77</v>
      </c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18"/>
      <c r="U50" s="18"/>
      <c r="V50" s="19"/>
      <c r="W50" s="19"/>
      <c r="X50" s="19"/>
      <c r="Y50" s="127"/>
    </row>
    <row r="51" spans="1:25" s="2" customFormat="1" ht="20.100000000000001" customHeight="1" thickBot="1" x14ac:dyDescent="0.25">
      <c r="A51" s="21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16"/>
      <c r="U51" s="16"/>
      <c r="V51" s="23"/>
      <c r="W51" s="23"/>
      <c r="X51" s="23"/>
      <c r="Y51" s="128"/>
    </row>
  </sheetData>
  <mergeCells count="79">
    <mergeCell ref="S39:S41"/>
    <mergeCell ref="S42:S44"/>
    <mergeCell ref="U39:U41"/>
    <mergeCell ref="U42:U44"/>
    <mergeCell ref="G39:G41"/>
    <mergeCell ref="E42:E44"/>
    <mergeCell ref="F42:F44"/>
    <mergeCell ref="G42:G44"/>
    <mergeCell ref="H39:H41"/>
    <mergeCell ref="H42:H44"/>
    <mergeCell ref="S21:S23"/>
    <mergeCell ref="U21:U23"/>
    <mergeCell ref="B27:B29"/>
    <mergeCell ref="B30:B32"/>
    <mergeCell ref="B33:B35"/>
    <mergeCell ref="R48:U48"/>
    <mergeCell ref="V48:W48"/>
    <mergeCell ref="B9:B11"/>
    <mergeCell ref="E9:E11"/>
    <mergeCell ref="F9:F11"/>
    <mergeCell ref="G9:G11"/>
    <mergeCell ref="H9:H11"/>
    <mergeCell ref="B12:B14"/>
    <mergeCell ref="B15:B17"/>
    <mergeCell ref="B18:B20"/>
    <mergeCell ref="R45:U45"/>
    <mergeCell ref="R46:U46"/>
    <mergeCell ref="R47:U47"/>
    <mergeCell ref="V47:X47"/>
    <mergeCell ref="B39:B41"/>
    <mergeCell ref="B36:B38"/>
    <mergeCell ref="B42:B44"/>
    <mergeCell ref="E39:E41"/>
    <mergeCell ref="F39:F41"/>
    <mergeCell ref="V7:V8"/>
    <mergeCell ref="W7:W8"/>
    <mergeCell ref="H18:H20"/>
    <mergeCell ref="S15:S17"/>
    <mergeCell ref="S18:S20"/>
    <mergeCell ref="U15:U17"/>
    <mergeCell ref="U18:U20"/>
    <mergeCell ref="B21:B23"/>
    <mergeCell ref="B24:B26"/>
    <mergeCell ref="E21:E23"/>
    <mergeCell ref="F21:F23"/>
    <mergeCell ref="G21:G23"/>
    <mergeCell ref="H21:H23"/>
    <mergeCell ref="A9:A32"/>
    <mergeCell ref="E15:E17"/>
    <mergeCell ref="F15:F17"/>
    <mergeCell ref="G5:G8"/>
    <mergeCell ref="H5:H8"/>
    <mergeCell ref="A5:A8"/>
    <mergeCell ref="B5:B8"/>
    <mergeCell ref="C5:C8"/>
    <mergeCell ref="D5:D8"/>
    <mergeCell ref="E5:E8"/>
    <mergeCell ref="F5:F8"/>
    <mergeCell ref="G15:G17"/>
    <mergeCell ref="H15:H17"/>
    <mergeCell ref="E18:E20"/>
    <mergeCell ref="F18:F20"/>
    <mergeCell ref="G18:G20"/>
    <mergeCell ref="Y5:Y8"/>
    <mergeCell ref="Q6:Q8"/>
    <mergeCell ref="R6:R8"/>
    <mergeCell ref="S6:S8"/>
    <mergeCell ref="T6:T8"/>
    <mergeCell ref="X7:X8"/>
    <mergeCell ref="I5:T5"/>
    <mergeCell ref="U5:U8"/>
    <mergeCell ref="V5:X5"/>
    <mergeCell ref="U4:V4"/>
    <mergeCell ref="W4:Y4"/>
    <mergeCell ref="H1:T1"/>
    <mergeCell ref="H2:T2"/>
    <mergeCell ref="V2:W2"/>
    <mergeCell ref="X2:Y2"/>
    <mergeCell ref="X3:Y3"/>
  </mergeCells>
  <printOptions horizontalCentered="1"/>
  <pageMargins left="0.53" right="0.14000000000000001" top="0.52" bottom="0.21" header="0.17" footer="0.17"/>
  <pageSetup paperSize="9" scale="42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AA39"/>
  <sheetViews>
    <sheetView view="pageBreakPreview" zoomScale="70" zoomScaleNormal="100" zoomScaleSheetLayoutView="70" workbookViewId="0">
      <pane xSplit="4" ySplit="8" topLeftCell="E9" activePane="bottomRight" state="frozen"/>
      <selection activeCell="P23" sqref="P23"/>
      <selection pane="topRight" activeCell="P23" sqref="P23"/>
      <selection pane="bottomLeft" activeCell="P23" sqref="P23"/>
      <selection pane="bottomRight" activeCell="T26" sqref="T26"/>
    </sheetView>
  </sheetViews>
  <sheetFormatPr defaultRowHeight="12.75" x14ac:dyDescent="0.2"/>
  <cols>
    <col min="1" max="1" width="12.140625" style="163" customWidth="1"/>
    <col min="2" max="2" width="9" style="163" customWidth="1"/>
    <col min="3" max="5" width="6.42578125" style="163" customWidth="1"/>
    <col min="6" max="7" width="6.7109375" style="163" customWidth="1"/>
    <col min="8" max="8" width="58.42578125" style="163" customWidth="1"/>
    <col min="9" max="19" width="9.5703125" style="163" customWidth="1"/>
    <col min="20" max="20" width="9.7109375" style="163" customWidth="1"/>
    <col min="21" max="21" width="7.5703125" style="163" customWidth="1"/>
    <col min="22" max="22" width="12.28515625" style="163" customWidth="1"/>
    <col min="23" max="23" width="9.28515625" style="163" customWidth="1"/>
    <col min="24" max="25" width="7.7109375" style="163" customWidth="1"/>
    <col min="26" max="26" width="16.85546875" style="163" customWidth="1"/>
    <col min="27" max="16384" width="9.140625" style="163"/>
  </cols>
  <sheetData>
    <row r="1" spans="1:26" s="151" customFormat="1" ht="19.5" customHeight="1" x14ac:dyDescent="0.25">
      <c r="A1" s="10" t="s">
        <v>32</v>
      </c>
      <c r="B1" s="11" t="s">
        <v>50</v>
      </c>
      <c r="C1" s="7"/>
      <c r="D1" s="7"/>
      <c r="E1" s="7"/>
      <c r="F1" s="7"/>
      <c r="G1" s="7"/>
      <c r="H1" s="332" t="s">
        <v>56</v>
      </c>
      <c r="I1" s="332"/>
      <c r="J1" s="332"/>
      <c r="K1" s="332"/>
      <c r="L1" s="332"/>
      <c r="M1" s="332"/>
      <c r="N1" s="332"/>
      <c r="O1" s="332"/>
      <c r="P1" s="332"/>
      <c r="Q1" s="332"/>
      <c r="R1" s="332"/>
      <c r="S1" s="332"/>
      <c r="T1" s="332"/>
      <c r="U1" s="332"/>
      <c r="V1" s="7"/>
      <c r="W1" s="7"/>
      <c r="X1" s="7"/>
      <c r="Y1" s="7"/>
      <c r="Z1" s="8"/>
    </row>
    <row r="2" spans="1:26" s="2" customFormat="1" ht="19.5" customHeight="1" x14ac:dyDescent="0.25">
      <c r="A2" s="9" t="s">
        <v>210</v>
      </c>
      <c r="B2" s="3"/>
      <c r="C2" s="1"/>
      <c r="H2" s="333" t="s">
        <v>55</v>
      </c>
      <c r="I2" s="333"/>
      <c r="J2" s="333"/>
      <c r="K2" s="333"/>
      <c r="L2" s="333"/>
      <c r="M2" s="333"/>
      <c r="N2" s="333"/>
      <c r="O2" s="333"/>
      <c r="P2" s="333"/>
      <c r="Q2" s="333"/>
      <c r="R2" s="333"/>
      <c r="S2" s="333"/>
      <c r="T2" s="333"/>
      <c r="U2" s="333"/>
      <c r="W2" s="334"/>
      <c r="X2" s="334"/>
      <c r="Y2" s="335"/>
      <c r="Z2" s="336"/>
    </row>
    <row r="3" spans="1:26" s="2" customFormat="1" ht="19.5" customHeight="1" x14ac:dyDescent="0.25">
      <c r="A3" s="9" t="s">
        <v>195</v>
      </c>
      <c r="B3" s="3"/>
      <c r="C3" s="3"/>
      <c r="D3" s="3"/>
      <c r="E3" s="3"/>
      <c r="F3" s="3"/>
      <c r="W3" s="3"/>
      <c r="X3" s="3"/>
      <c r="Y3" s="335"/>
      <c r="Z3" s="336"/>
    </row>
    <row r="4" spans="1:26" s="2" customFormat="1" ht="19.5" customHeight="1" thickBot="1" x14ac:dyDescent="0.3">
      <c r="A4" s="14" t="s">
        <v>90</v>
      </c>
      <c r="B4" s="12"/>
      <c r="C4" s="12"/>
      <c r="D4" s="12"/>
      <c r="E4" s="12"/>
      <c r="F4" s="12"/>
      <c r="G4" s="12"/>
      <c r="H4" s="12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337" t="s">
        <v>57</v>
      </c>
      <c r="W4" s="337"/>
      <c r="X4" s="338" t="s">
        <v>143</v>
      </c>
      <c r="Y4" s="338"/>
      <c r="Z4" s="339"/>
    </row>
    <row r="5" spans="1:26" s="2" customFormat="1" ht="21.75" customHeight="1" x14ac:dyDescent="0.2">
      <c r="A5" s="349" t="s">
        <v>0</v>
      </c>
      <c r="B5" s="352" t="s">
        <v>1</v>
      </c>
      <c r="C5" s="329" t="s">
        <v>2</v>
      </c>
      <c r="D5" s="329" t="s">
        <v>3</v>
      </c>
      <c r="E5" s="329" t="s">
        <v>4</v>
      </c>
      <c r="F5" s="329" t="s">
        <v>5</v>
      </c>
      <c r="G5" s="329" t="s">
        <v>6</v>
      </c>
      <c r="H5" s="371" t="s">
        <v>7</v>
      </c>
      <c r="I5" s="341"/>
      <c r="J5" s="341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2"/>
      <c r="V5" s="329" t="s">
        <v>54</v>
      </c>
      <c r="W5" s="340" t="s">
        <v>9</v>
      </c>
      <c r="X5" s="341"/>
      <c r="Y5" s="342"/>
      <c r="Z5" s="343" t="s">
        <v>10</v>
      </c>
    </row>
    <row r="6" spans="1:26" s="2" customFormat="1" ht="21.75" customHeight="1" x14ac:dyDescent="0.2">
      <c r="A6" s="350"/>
      <c r="B6" s="353"/>
      <c r="C6" s="330"/>
      <c r="D6" s="330"/>
      <c r="E6" s="330"/>
      <c r="F6" s="330"/>
      <c r="G6" s="330"/>
      <c r="H6" s="372"/>
      <c r="I6" s="129" t="s">
        <v>52</v>
      </c>
      <c r="J6" s="129" t="s">
        <v>52</v>
      </c>
      <c r="K6" s="129" t="s">
        <v>52</v>
      </c>
      <c r="L6" s="64" t="s">
        <v>60</v>
      </c>
      <c r="M6" s="64" t="s">
        <v>60</v>
      </c>
      <c r="N6" s="64" t="s">
        <v>61</v>
      </c>
      <c r="O6" s="64" t="s">
        <v>147</v>
      </c>
      <c r="P6" s="64" t="s">
        <v>62</v>
      </c>
      <c r="Q6" s="64" t="s">
        <v>49</v>
      </c>
      <c r="R6" s="368" t="s">
        <v>13</v>
      </c>
      <c r="S6" s="368" t="s">
        <v>63</v>
      </c>
      <c r="T6" s="368" t="s">
        <v>174</v>
      </c>
      <c r="U6" s="346" t="s">
        <v>42</v>
      </c>
      <c r="V6" s="330"/>
      <c r="W6" s="179"/>
      <c r="X6" s="179"/>
      <c r="Y6" s="179"/>
      <c r="Z6" s="344"/>
    </row>
    <row r="7" spans="1:26" s="2" customFormat="1" ht="21.75" customHeight="1" x14ac:dyDescent="0.2">
      <c r="A7" s="350"/>
      <c r="B7" s="353"/>
      <c r="C7" s="330"/>
      <c r="D7" s="330"/>
      <c r="E7" s="330"/>
      <c r="F7" s="330"/>
      <c r="G7" s="330"/>
      <c r="H7" s="372"/>
      <c r="I7" s="181">
        <v>1</v>
      </c>
      <c r="J7" s="181">
        <v>2</v>
      </c>
      <c r="K7" s="181">
        <v>3</v>
      </c>
      <c r="L7" s="178" t="s">
        <v>58</v>
      </c>
      <c r="M7" s="178" t="s">
        <v>59</v>
      </c>
      <c r="N7" s="178" t="s">
        <v>58</v>
      </c>
      <c r="O7" s="178"/>
      <c r="P7" s="181"/>
      <c r="Q7" s="181"/>
      <c r="R7" s="369"/>
      <c r="S7" s="369"/>
      <c r="T7" s="369"/>
      <c r="U7" s="330"/>
      <c r="V7" s="330"/>
      <c r="W7" s="347" t="s">
        <v>14</v>
      </c>
      <c r="X7" s="347" t="s">
        <v>15</v>
      </c>
      <c r="Y7" s="347" t="s">
        <v>16</v>
      </c>
      <c r="Z7" s="344"/>
    </row>
    <row r="8" spans="1:26" s="2" customFormat="1" ht="21.75" customHeight="1" thickBot="1" x14ac:dyDescent="0.25">
      <c r="A8" s="351"/>
      <c r="B8" s="354"/>
      <c r="C8" s="331"/>
      <c r="D8" s="331"/>
      <c r="E8" s="331"/>
      <c r="F8" s="331"/>
      <c r="G8" s="331"/>
      <c r="H8" s="373"/>
      <c r="I8" s="181"/>
      <c r="J8" s="181"/>
      <c r="K8" s="181"/>
      <c r="L8" s="181">
        <v>200</v>
      </c>
      <c r="M8" s="181">
        <v>400</v>
      </c>
      <c r="N8" s="181"/>
      <c r="O8" s="181">
        <v>100</v>
      </c>
      <c r="P8" s="181"/>
      <c r="Q8" s="181">
        <v>1500</v>
      </c>
      <c r="R8" s="370"/>
      <c r="S8" s="370"/>
      <c r="T8" s="370"/>
      <c r="U8" s="331"/>
      <c r="V8" s="331"/>
      <c r="W8" s="348"/>
      <c r="X8" s="348"/>
      <c r="Y8" s="348"/>
      <c r="Z8" s="345"/>
    </row>
    <row r="9" spans="1:26" s="2" customFormat="1" ht="21.75" customHeight="1" x14ac:dyDescent="0.2">
      <c r="A9" s="363" t="s">
        <v>141</v>
      </c>
      <c r="B9" s="365" t="s">
        <v>92</v>
      </c>
      <c r="C9" s="58">
        <v>1</v>
      </c>
      <c r="D9" s="27" t="s">
        <v>17</v>
      </c>
      <c r="E9" s="381">
        <v>63</v>
      </c>
      <c r="F9" s="384">
        <v>16</v>
      </c>
      <c r="G9" s="384">
        <v>16</v>
      </c>
      <c r="H9" s="381" t="s">
        <v>282</v>
      </c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49"/>
      <c r="W9" s="36">
        <f>'SP-LL'!AF39</f>
        <v>8262</v>
      </c>
      <c r="X9" s="182"/>
      <c r="Y9" s="110"/>
      <c r="Z9" s="34"/>
    </row>
    <row r="10" spans="1:26" s="2" customFormat="1" ht="21.75" customHeight="1" x14ac:dyDescent="0.2">
      <c r="A10" s="364"/>
      <c r="B10" s="366"/>
      <c r="C10" s="59">
        <v>2</v>
      </c>
      <c r="D10" s="29" t="s">
        <v>18</v>
      </c>
      <c r="E10" s="382"/>
      <c r="F10" s="385"/>
      <c r="G10" s="385"/>
      <c r="H10" s="382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44"/>
      <c r="W10" s="130"/>
      <c r="X10" s="37">
        <f>'SP-LL'!AG39</f>
        <v>9125.5</v>
      </c>
      <c r="Y10" s="177"/>
      <c r="Z10" s="32"/>
    </row>
    <row r="11" spans="1:26" s="2" customFormat="1" ht="21.75" customHeight="1" x14ac:dyDescent="0.2">
      <c r="A11" s="364"/>
      <c r="B11" s="366"/>
      <c r="C11" s="59">
        <v>3</v>
      </c>
      <c r="D11" s="29" t="s">
        <v>19</v>
      </c>
      <c r="E11" s="404"/>
      <c r="F11" s="405"/>
      <c r="G11" s="405"/>
      <c r="H11" s="404"/>
      <c r="I11" s="130"/>
      <c r="J11" s="130"/>
      <c r="K11" s="130"/>
      <c r="L11" s="130"/>
      <c r="M11" s="130"/>
      <c r="N11" s="130"/>
      <c r="O11" s="130"/>
      <c r="P11" s="130"/>
      <c r="Q11" s="130"/>
      <c r="R11" s="130"/>
      <c r="S11" s="130"/>
      <c r="T11" s="130"/>
      <c r="U11" s="130"/>
      <c r="V11" s="44"/>
      <c r="W11" s="130"/>
      <c r="X11" s="130"/>
      <c r="Y11" s="37">
        <f>'SP-LL'!AH39</f>
        <v>8155</v>
      </c>
      <c r="Z11" s="32"/>
    </row>
    <row r="12" spans="1:26" s="2" customFormat="1" ht="21.75" customHeight="1" x14ac:dyDescent="0.2">
      <c r="A12" s="364"/>
      <c r="B12" s="366"/>
      <c r="C12" s="61">
        <v>4</v>
      </c>
      <c r="D12" s="43" t="s">
        <v>20</v>
      </c>
      <c r="E12" s="141"/>
      <c r="F12" s="142"/>
      <c r="G12" s="142"/>
      <c r="H12" s="141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126"/>
      <c r="U12" s="126"/>
      <c r="V12" s="50"/>
      <c r="W12" s="52">
        <f>V12*S12</f>
        <v>0</v>
      </c>
      <c r="X12" s="126"/>
      <c r="Y12" s="126"/>
      <c r="Z12" s="124"/>
    </row>
    <row r="13" spans="1:26" s="2" customFormat="1" ht="21.75" customHeight="1" x14ac:dyDescent="0.2">
      <c r="A13" s="364"/>
      <c r="B13" s="366"/>
      <c r="C13" s="59">
        <v>5</v>
      </c>
      <c r="D13" s="29" t="s">
        <v>21</v>
      </c>
      <c r="E13" s="113"/>
      <c r="F13" s="115"/>
      <c r="G13" s="115"/>
      <c r="H13" s="113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130"/>
      <c r="T13" s="130"/>
      <c r="U13" s="130"/>
      <c r="V13" s="44"/>
      <c r="W13" s="130"/>
      <c r="X13" s="37">
        <f>M13*M8</f>
        <v>0</v>
      </c>
      <c r="Y13" s="177"/>
      <c r="Z13" s="132"/>
    </row>
    <row r="14" spans="1:26" s="2" customFormat="1" ht="21.75" customHeight="1" thickBot="1" x14ac:dyDescent="0.25">
      <c r="A14" s="364"/>
      <c r="B14" s="367"/>
      <c r="C14" s="60">
        <v>6</v>
      </c>
      <c r="D14" s="41" t="s">
        <v>22</v>
      </c>
      <c r="E14" s="46"/>
      <c r="F14" s="51"/>
      <c r="G14" s="51"/>
      <c r="H14" s="46"/>
      <c r="I14" s="131"/>
      <c r="J14" s="131"/>
      <c r="K14" s="131"/>
      <c r="L14" s="131"/>
      <c r="M14" s="131"/>
      <c r="N14" s="131"/>
      <c r="O14" s="131"/>
      <c r="P14" s="131"/>
      <c r="Q14" s="131"/>
      <c r="R14" s="131"/>
      <c r="S14" s="131"/>
      <c r="T14" s="131"/>
      <c r="U14" s="131"/>
      <c r="V14" s="45"/>
      <c r="W14" s="131"/>
      <c r="X14" s="131"/>
      <c r="Y14" s="38">
        <v>0</v>
      </c>
      <c r="Z14" s="35"/>
    </row>
    <row r="15" spans="1:26" s="2" customFormat="1" ht="21.75" customHeight="1" x14ac:dyDescent="0.2">
      <c r="A15" s="364"/>
      <c r="B15" s="365" t="s">
        <v>64</v>
      </c>
      <c r="C15" s="58">
        <v>7</v>
      </c>
      <c r="D15" s="27" t="s">
        <v>33</v>
      </c>
      <c r="E15" s="112">
        <v>20</v>
      </c>
      <c r="F15" s="114">
        <v>4</v>
      </c>
      <c r="G15" s="114">
        <v>4</v>
      </c>
      <c r="H15" s="112" t="s">
        <v>167</v>
      </c>
      <c r="I15" s="110"/>
      <c r="J15" s="110"/>
      <c r="K15" s="110"/>
      <c r="L15" s="110">
        <v>3</v>
      </c>
      <c r="M15" s="110"/>
      <c r="N15" s="110"/>
      <c r="O15" s="110"/>
      <c r="P15" s="110"/>
      <c r="Q15" s="110"/>
      <c r="R15" s="110"/>
      <c r="S15" s="110"/>
      <c r="T15" s="152"/>
      <c r="U15" s="110"/>
      <c r="V15" s="153"/>
      <c r="W15" s="36">
        <f>L15*L8</f>
        <v>600</v>
      </c>
      <c r="X15" s="110"/>
      <c r="Y15" s="110"/>
      <c r="Z15" s="34"/>
    </row>
    <row r="16" spans="1:26" s="2" customFormat="1" ht="21.75" customHeight="1" x14ac:dyDescent="0.2">
      <c r="A16" s="364"/>
      <c r="B16" s="366"/>
      <c r="C16" s="59">
        <v>8</v>
      </c>
      <c r="D16" s="29" t="s">
        <v>34</v>
      </c>
      <c r="E16" s="113">
        <v>20</v>
      </c>
      <c r="F16" s="115">
        <v>4</v>
      </c>
      <c r="G16" s="115">
        <v>4</v>
      </c>
      <c r="H16" s="141" t="s">
        <v>157</v>
      </c>
      <c r="I16" s="130"/>
      <c r="J16" s="130"/>
      <c r="K16" s="130"/>
      <c r="L16" s="130">
        <v>5</v>
      </c>
      <c r="M16" s="130"/>
      <c r="N16" s="130"/>
      <c r="O16" s="130"/>
      <c r="P16" s="130"/>
      <c r="Q16" s="130"/>
      <c r="R16" s="130"/>
      <c r="S16" s="130"/>
      <c r="T16" s="154"/>
      <c r="U16" s="126"/>
      <c r="V16" s="150"/>
      <c r="W16" s="130"/>
      <c r="X16" s="52">
        <f>L16*L8</f>
        <v>1000</v>
      </c>
      <c r="Y16" s="177"/>
      <c r="Z16" s="32"/>
    </row>
    <row r="17" spans="1:26" s="2" customFormat="1" ht="21.75" customHeight="1" x14ac:dyDescent="0.2">
      <c r="A17" s="364"/>
      <c r="B17" s="366"/>
      <c r="C17" s="59">
        <v>9</v>
      </c>
      <c r="D17" s="29" t="s">
        <v>35</v>
      </c>
      <c r="E17" s="141">
        <v>20</v>
      </c>
      <c r="F17" s="142">
        <v>4</v>
      </c>
      <c r="G17" s="142">
        <v>4</v>
      </c>
      <c r="H17" s="141" t="s">
        <v>159</v>
      </c>
      <c r="I17" s="130"/>
      <c r="J17" s="130"/>
      <c r="K17" s="130"/>
      <c r="L17" s="130">
        <v>3</v>
      </c>
      <c r="M17" s="130"/>
      <c r="N17" s="130"/>
      <c r="O17" s="130"/>
      <c r="P17" s="130"/>
      <c r="Q17" s="130"/>
      <c r="R17" s="130"/>
      <c r="S17" s="130"/>
      <c r="T17" s="154"/>
      <c r="U17" s="126"/>
      <c r="V17" s="150"/>
      <c r="W17" s="130"/>
      <c r="X17" s="130"/>
      <c r="Y17" s="37">
        <f>L17*L8</f>
        <v>600</v>
      </c>
      <c r="Z17" s="32"/>
    </row>
    <row r="18" spans="1:26" s="2" customFormat="1" ht="21.75" customHeight="1" x14ac:dyDescent="0.2">
      <c r="A18" s="364"/>
      <c r="B18" s="366"/>
      <c r="C18" s="61">
        <v>10</v>
      </c>
      <c r="D18" s="43" t="s">
        <v>23</v>
      </c>
      <c r="E18" s="141">
        <v>32</v>
      </c>
      <c r="F18" s="142">
        <v>4</v>
      </c>
      <c r="G18" s="142">
        <v>4</v>
      </c>
      <c r="H18" s="141" t="s">
        <v>151</v>
      </c>
      <c r="I18" s="47"/>
      <c r="J18" s="47"/>
      <c r="K18" s="47"/>
      <c r="L18" s="47"/>
      <c r="M18" s="47">
        <v>5</v>
      </c>
      <c r="N18" s="47"/>
      <c r="O18" s="47"/>
      <c r="P18" s="47"/>
      <c r="Q18" s="47"/>
      <c r="R18" s="47"/>
      <c r="S18" s="47"/>
      <c r="T18" s="226"/>
      <c r="U18" s="130"/>
      <c r="V18" s="227"/>
      <c r="W18" s="52">
        <f>M18*M8</f>
        <v>2000</v>
      </c>
      <c r="X18" s="126"/>
      <c r="Y18" s="126"/>
      <c r="Z18" s="53" t="s">
        <v>300</v>
      </c>
    </row>
    <row r="19" spans="1:26" s="2" customFormat="1" ht="21.75" customHeight="1" x14ac:dyDescent="0.2">
      <c r="A19" s="364"/>
      <c r="B19" s="366"/>
      <c r="C19" s="59">
        <v>11</v>
      </c>
      <c r="D19" s="29" t="s">
        <v>24</v>
      </c>
      <c r="E19" s="141">
        <v>32</v>
      </c>
      <c r="F19" s="142">
        <v>4</v>
      </c>
      <c r="G19" s="142">
        <v>4</v>
      </c>
      <c r="H19" s="141" t="s">
        <v>211</v>
      </c>
      <c r="I19" s="126"/>
      <c r="J19" s="130"/>
      <c r="K19" s="130"/>
      <c r="L19" s="130"/>
      <c r="M19" s="130">
        <v>4</v>
      </c>
      <c r="N19" s="130"/>
      <c r="O19" s="130"/>
      <c r="P19" s="130"/>
      <c r="Q19" s="130"/>
      <c r="R19" s="130"/>
      <c r="S19" s="130"/>
      <c r="T19" s="226"/>
      <c r="U19" s="130"/>
      <c r="V19" s="227"/>
      <c r="W19" s="130"/>
      <c r="X19" s="37">
        <f>M19*M8+O19*O8</f>
        <v>1600</v>
      </c>
      <c r="Y19" s="177"/>
      <c r="Z19" s="53" t="s">
        <v>300</v>
      </c>
    </row>
    <row r="20" spans="1:26" s="2" customFormat="1" ht="21.75" customHeight="1" thickBot="1" x14ac:dyDescent="0.25">
      <c r="A20" s="364"/>
      <c r="B20" s="367"/>
      <c r="C20" s="60">
        <v>12</v>
      </c>
      <c r="D20" s="41" t="s">
        <v>25</v>
      </c>
      <c r="E20" s="186">
        <v>32</v>
      </c>
      <c r="F20" s="184">
        <v>4</v>
      </c>
      <c r="G20" s="184">
        <v>4</v>
      </c>
      <c r="H20" s="186" t="s">
        <v>212</v>
      </c>
      <c r="I20" s="177"/>
      <c r="J20" s="177"/>
      <c r="K20" s="177"/>
      <c r="L20" s="177"/>
      <c r="M20" s="177">
        <v>4</v>
      </c>
      <c r="N20" s="177"/>
      <c r="O20" s="177"/>
      <c r="P20" s="177"/>
      <c r="Q20" s="177"/>
      <c r="R20" s="177"/>
      <c r="S20" s="177"/>
      <c r="T20" s="228"/>
      <c r="U20" s="183"/>
      <c r="V20" s="229"/>
      <c r="W20" s="131"/>
      <c r="X20" s="131"/>
      <c r="Y20" s="38">
        <f>M20*M8+O20*O8</f>
        <v>1600</v>
      </c>
      <c r="Z20" s="54" t="s">
        <v>300</v>
      </c>
    </row>
    <row r="21" spans="1:26" s="2" customFormat="1" ht="21.75" customHeight="1" x14ac:dyDescent="0.2">
      <c r="A21" s="364"/>
      <c r="B21" s="365" t="s">
        <v>64</v>
      </c>
      <c r="C21" s="58">
        <v>13</v>
      </c>
      <c r="D21" s="27" t="s">
        <v>26</v>
      </c>
      <c r="E21" s="112">
        <v>32</v>
      </c>
      <c r="F21" s="114">
        <v>4</v>
      </c>
      <c r="G21" s="114">
        <v>4</v>
      </c>
      <c r="H21" s="112" t="s">
        <v>213</v>
      </c>
      <c r="I21" s="110"/>
      <c r="J21" s="110"/>
      <c r="K21" s="110"/>
      <c r="L21" s="110"/>
      <c r="M21" s="110">
        <v>4</v>
      </c>
      <c r="N21" s="110"/>
      <c r="O21" s="110"/>
      <c r="P21" s="110"/>
      <c r="Q21" s="110"/>
      <c r="R21" s="110"/>
      <c r="S21" s="110"/>
      <c r="T21" s="152"/>
      <c r="U21" s="110"/>
      <c r="V21" s="153"/>
      <c r="W21" s="36">
        <f>M21*M8+O21*O8</f>
        <v>1600</v>
      </c>
      <c r="X21" s="110"/>
      <c r="Y21" s="110"/>
      <c r="Z21" s="34" t="s">
        <v>300</v>
      </c>
    </row>
    <row r="22" spans="1:26" s="2" customFormat="1" ht="21.75" customHeight="1" x14ac:dyDescent="0.2">
      <c r="A22" s="364"/>
      <c r="B22" s="366"/>
      <c r="C22" s="59">
        <v>14</v>
      </c>
      <c r="D22" s="29" t="s">
        <v>27</v>
      </c>
      <c r="E22" s="113">
        <v>32</v>
      </c>
      <c r="F22" s="115">
        <v>4</v>
      </c>
      <c r="G22" s="115">
        <v>4</v>
      </c>
      <c r="H22" s="113" t="s">
        <v>214</v>
      </c>
      <c r="I22" s="126"/>
      <c r="J22" s="130"/>
      <c r="K22" s="130"/>
      <c r="L22" s="130"/>
      <c r="M22" s="130">
        <v>4</v>
      </c>
      <c r="N22" s="130"/>
      <c r="O22" s="130"/>
      <c r="P22" s="130"/>
      <c r="Q22" s="130"/>
      <c r="R22" s="130"/>
      <c r="S22" s="130"/>
      <c r="T22" s="154"/>
      <c r="U22" s="126"/>
      <c r="V22" s="150"/>
      <c r="W22" s="126"/>
      <c r="X22" s="52">
        <f>M22*M8+O22*O8</f>
        <v>1600</v>
      </c>
      <c r="Y22" s="177"/>
      <c r="Z22" s="32" t="s">
        <v>300</v>
      </c>
    </row>
    <row r="23" spans="1:26" s="2" customFormat="1" ht="21.75" customHeight="1" x14ac:dyDescent="0.2">
      <c r="A23" s="364"/>
      <c r="B23" s="366"/>
      <c r="C23" s="59">
        <v>15</v>
      </c>
      <c r="D23" s="29" t="s">
        <v>28</v>
      </c>
      <c r="E23" s="141">
        <v>20</v>
      </c>
      <c r="F23" s="142">
        <v>4</v>
      </c>
      <c r="G23" s="142">
        <v>4</v>
      </c>
      <c r="H23" s="141" t="s">
        <v>215</v>
      </c>
      <c r="I23" s="130"/>
      <c r="J23" s="130"/>
      <c r="K23" s="130"/>
      <c r="L23" s="130">
        <v>1</v>
      </c>
      <c r="M23" s="130">
        <v>1</v>
      </c>
      <c r="N23" s="130"/>
      <c r="O23" s="130"/>
      <c r="P23" s="130"/>
      <c r="Q23" s="130"/>
      <c r="R23" s="130"/>
      <c r="S23" s="130"/>
      <c r="T23" s="154"/>
      <c r="U23" s="126"/>
      <c r="V23" s="150"/>
      <c r="W23" s="130"/>
      <c r="X23" s="130"/>
      <c r="Y23" s="37">
        <f>(L23*L8)+(M23*M8)</f>
        <v>600</v>
      </c>
      <c r="Z23" s="32"/>
    </row>
    <row r="24" spans="1:26" s="2" customFormat="1" ht="21.75" customHeight="1" x14ac:dyDescent="0.2">
      <c r="A24" s="364"/>
      <c r="B24" s="366"/>
      <c r="C24" s="61">
        <v>16</v>
      </c>
      <c r="D24" s="43" t="s">
        <v>29</v>
      </c>
      <c r="E24" s="141">
        <v>20</v>
      </c>
      <c r="F24" s="142">
        <v>4</v>
      </c>
      <c r="G24" s="142">
        <v>4</v>
      </c>
      <c r="H24" s="141" t="s">
        <v>149</v>
      </c>
      <c r="I24" s="47"/>
      <c r="J24" s="47"/>
      <c r="K24" s="47"/>
      <c r="L24" s="47"/>
      <c r="M24" s="47"/>
      <c r="N24" s="47"/>
      <c r="O24" s="47">
        <v>1</v>
      </c>
      <c r="P24" s="47"/>
      <c r="Q24" s="47">
        <v>1</v>
      </c>
      <c r="R24" s="47"/>
      <c r="S24" s="47"/>
      <c r="T24" s="47"/>
      <c r="U24" s="126"/>
      <c r="V24" s="50"/>
      <c r="W24" s="52">
        <f>Q24*Q8+O24*O8</f>
        <v>1600</v>
      </c>
      <c r="X24" s="126"/>
      <c r="Y24" s="126"/>
      <c r="Z24" s="53"/>
    </row>
    <row r="25" spans="1:26" s="2" customFormat="1" ht="21.75" customHeight="1" x14ac:dyDescent="0.2">
      <c r="A25" s="364"/>
      <c r="B25" s="366"/>
      <c r="C25" s="59">
        <v>17</v>
      </c>
      <c r="D25" s="29" t="s">
        <v>30</v>
      </c>
      <c r="E25" s="141">
        <v>20</v>
      </c>
      <c r="F25" s="142">
        <v>4</v>
      </c>
      <c r="G25" s="142">
        <v>4</v>
      </c>
      <c r="H25" s="113" t="s">
        <v>216</v>
      </c>
      <c r="I25" s="130"/>
      <c r="J25" s="130"/>
      <c r="K25" s="130"/>
      <c r="L25" s="130"/>
      <c r="M25" s="130"/>
      <c r="N25" s="130"/>
      <c r="O25" s="130">
        <v>1</v>
      </c>
      <c r="P25" s="130"/>
      <c r="Q25" s="130">
        <v>1</v>
      </c>
      <c r="R25" s="130"/>
      <c r="S25" s="130"/>
      <c r="T25" s="130"/>
      <c r="U25" s="130"/>
      <c r="V25" s="44"/>
      <c r="W25" s="130"/>
      <c r="X25" s="52">
        <f>Q25*Q8+O25*O8</f>
        <v>1600</v>
      </c>
      <c r="Y25" s="177"/>
      <c r="Z25" s="32"/>
    </row>
    <row r="26" spans="1:26" s="2" customFormat="1" ht="21.75" customHeight="1" thickBot="1" x14ac:dyDescent="0.25">
      <c r="A26" s="364"/>
      <c r="B26" s="367"/>
      <c r="C26" s="60">
        <v>18</v>
      </c>
      <c r="D26" s="41" t="s">
        <v>31</v>
      </c>
      <c r="E26" s="141">
        <v>20</v>
      </c>
      <c r="F26" s="142">
        <v>4</v>
      </c>
      <c r="G26" s="142">
        <v>4</v>
      </c>
      <c r="H26" s="113" t="s">
        <v>156</v>
      </c>
      <c r="I26" s="177"/>
      <c r="J26" s="177"/>
      <c r="K26" s="177"/>
      <c r="L26" s="177"/>
      <c r="M26" s="177"/>
      <c r="N26" s="177"/>
      <c r="O26" s="177">
        <v>1</v>
      </c>
      <c r="P26" s="177"/>
      <c r="Q26" s="177">
        <v>1</v>
      </c>
      <c r="R26" s="177"/>
      <c r="S26" s="177"/>
      <c r="T26" s="177"/>
      <c r="U26" s="177"/>
      <c r="V26" s="57"/>
      <c r="W26" s="131"/>
      <c r="X26" s="131"/>
      <c r="Y26" s="134">
        <f>Q26*Q8+O26*O8</f>
        <v>1600</v>
      </c>
      <c r="Z26" s="54"/>
    </row>
    <row r="27" spans="1:26" s="2" customFormat="1" ht="21.75" customHeight="1" x14ac:dyDescent="0.2">
      <c r="A27" s="364"/>
      <c r="B27" s="365" t="s">
        <v>51</v>
      </c>
      <c r="C27" s="58">
        <v>19</v>
      </c>
      <c r="D27" s="27" t="s">
        <v>36</v>
      </c>
      <c r="E27" s="112">
        <v>20</v>
      </c>
      <c r="F27" s="114">
        <v>4</v>
      </c>
      <c r="G27" s="114">
        <v>4</v>
      </c>
      <c r="H27" s="112" t="s">
        <v>217</v>
      </c>
      <c r="I27" s="110"/>
      <c r="J27" s="110"/>
      <c r="K27" s="110"/>
      <c r="L27" s="110"/>
      <c r="M27" s="110"/>
      <c r="N27" s="110"/>
      <c r="O27" s="110"/>
      <c r="P27" s="110"/>
      <c r="Q27" s="110"/>
      <c r="R27" s="110">
        <v>1</v>
      </c>
      <c r="S27" s="110"/>
      <c r="T27" s="110"/>
      <c r="U27" s="110"/>
      <c r="V27" s="49">
        <v>862</v>
      </c>
      <c r="W27" s="36">
        <f>V27*R27</f>
        <v>862</v>
      </c>
      <c r="X27" s="182"/>
      <c r="Y27" s="110"/>
      <c r="Z27" s="34"/>
    </row>
    <row r="28" spans="1:26" s="2" customFormat="1" ht="21.75" customHeight="1" x14ac:dyDescent="0.2">
      <c r="A28" s="364"/>
      <c r="B28" s="366"/>
      <c r="C28" s="59">
        <v>20</v>
      </c>
      <c r="D28" s="29" t="s">
        <v>37</v>
      </c>
      <c r="E28" s="141">
        <v>20</v>
      </c>
      <c r="F28" s="142">
        <v>4</v>
      </c>
      <c r="G28" s="142">
        <v>4</v>
      </c>
      <c r="H28" s="113" t="s">
        <v>217</v>
      </c>
      <c r="I28" s="130"/>
      <c r="J28" s="130"/>
      <c r="K28" s="130"/>
      <c r="L28" s="130"/>
      <c r="M28" s="130"/>
      <c r="N28" s="130"/>
      <c r="O28" s="130"/>
      <c r="P28" s="130"/>
      <c r="Q28" s="130"/>
      <c r="R28" s="130">
        <v>1</v>
      </c>
      <c r="S28" s="130"/>
      <c r="T28" s="130"/>
      <c r="U28" s="130"/>
      <c r="V28" s="44">
        <v>862</v>
      </c>
      <c r="W28" s="130"/>
      <c r="X28" s="37">
        <f>V28*R28</f>
        <v>862</v>
      </c>
      <c r="Y28" s="177"/>
      <c r="Z28" s="32"/>
    </row>
    <row r="29" spans="1:26" s="2" customFormat="1" ht="21.75" customHeight="1" x14ac:dyDescent="0.2">
      <c r="A29" s="364"/>
      <c r="B29" s="366"/>
      <c r="C29" s="59">
        <v>21</v>
      </c>
      <c r="D29" s="29" t="s">
        <v>38</v>
      </c>
      <c r="E29" s="113">
        <v>20</v>
      </c>
      <c r="F29" s="115">
        <v>4</v>
      </c>
      <c r="G29" s="115">
        <v>4</v>
      </c>
      <c r="H29" s="113" t="s">
        <v>217</v>
      </c>
      <c r="I29" s="130"/>
      <c r="J29" s="130"/>
      <c r="K29" s="130"/>
      <c r="L29" s="130"/>
      <c r="M29" s="130"/>
      <c r="N29" s="130"/>
      <c r="O29" s="130"/>
      <c r="P29" s="130"/>
      <c r="Q29" s="130"/>
      <c r="R29" s="130">
        <v>1</v>
      </c>
      <c r="S29" s="130"/>
      <c r="T29" s="130"/>
      <c r="U29" s="130"/>
      <c r="V29" s="44">
        <v>862</v>
      </c>
      <c r="W29" s="130"/>
      <c r="X29" s="130"/>
      <c r="Y29" s="37">
        <f>V29*R29</f>
        <v>862</v>
      </c>
      <c r="Z29" s="32"/>
    </row>
    <row r="30" spans="1:26" s="2" customFormat="1" ht="21.75" customHeight="1" x14ac:dyDescent="0.2">
      <c r="A30" s="364"/>
      <c r="B30" s="366"/>
      <c r="C30" s="61">
        <v>22</v>
      </c>
      <c r="D30" s="43" t="s">
        <v>39</v>
      </c>
      <c r="E30" s="141">
        <v>20</v>
      </c>
      <c r="F30" s="115">
        <v>4</v>
      </c>
      <c r="G30" s="115">
        <v>4</v>
      </c>
      <c r="H30" s="141" t="s">
        <v>217</v>
      </c>
      <c r="I30" s="126"/>
      <c r="J30" s="126"/>
      <c r="K30" s="126"/>
      <c r="L30" s="126"/>
      <c r="M30" s="126"/>
      <c r="N30" s="126"/>
      <c r="O30" s="126"/>
      <c r="P30" s="126"/>
      <c r="Q30" s="126"/>
      <c r="R30" s="126">
        <v>1</v>
      </c>
      <c r="S30" s="126"/>
      <c r="T30" s="126"/>
      <c r="U30" s="126"/>
      <c r="V30" s="138">
        <v>862</v>
      </c>
      <c r="W30" s="52">
        <f>V30*R30</f>
        <v>862</v>
      </c>
      <c r="X30" s="183"/>
      <c r="Y30" s="126"/>
      <c r="Z30" s="53"/>
    </row>
    <row r="31" spans="1:26" s="2" customFormat="1" ht="21.75" customHeight="1" x14ac:dyDescent="0.2">
      <c r="A31" s="364"/>
      <c r="B31" s="366"/>
      <c r="C31" s="59">
        <v>23</v>
      </c>
      <c r="D31" s="29" t="s">
        <v>40</v>
      </c>
      <c r="E31" s="113"/>
      <c r="F31" s="115"/>
      <c r="G31" s="115"/>
      <c r="H31" s="113"/>
      <c r="I31" s="130"/>
      <c r="J31" s="130"/>
      <c r="K31" s="130"/>
      <c r="L31" s="130"/>
      <c r="M31" s="130"/>
      <c r="N31" s="130"/>
      <c r="O31" s="130"/>
      <c r="P31" s="130"/>
      <c r="Q31" s="130"/>
      <c r="R31" s="130"/>
      <c r="S31" s="130"/>
      <c r="T31" s="130"/>
      <c r="U31" s="130"/>
      <c r="V31" s="111"/>
      <c r="W31" s="130"/>
      <c r="X31" s="37"/>
      <c r="Y31" s="177"/>
      <c r="Z31" s="32"/>
    </row>
    <row r="32" spans="1:26" s="2" customFormat="1" ht="21.75" customHeight="1" thickBot="1" x14ac:dyDescent="0.25">
      <c r="A32" s="364"/>
      <c r="B32" s="367"/>
      <c r="C32" s="60">
        <v>24</v>
      </c>
      <c r="D32" s="41" t="s">
        <v>41</v>
      </c>
      <c r="E32" s="46"/>
      <c r="F32" s="51"/>
      <c r="G32" s="51"/>
      <c r="H32" s="46"/>
      <c r="I32" s="131"/>
      <c r="J32" s="131"/>
      <c r="K32" s="131"/>
      <c r="L32" s="131"/>
      <c r="M32" s="131"/>
      <c r="N32" s="131"/>
      <c r="O32" s="131"/>
      <c r="P32" s="131"/>
      <c r="Q32" s="131"/>
      <c r="R32" s="131"/>
      <c r="S32" s="177"/>
      <c r="T32" s="177"/>
      <c r="U32" s="177"/>
      <c r="V32" s="65"/>
      <c r="W32" s="130"/>
      <c r="X32" s="130"/>
      <c r="Y32" s="37"/>
      <c r="Z32" s="54"/>
    </row>
    <row r="33" spans="1:27" s="2" customFormat="1" ht="21.75" customHeight="1" x14ac:dyDescent="0.2">
      <c r="A33" s="5"/>
      <c r="B33" s="6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24"/>
      <c r="S33" s="375" t="s">
        <v>45</v>
      </c>
      <c r="T33" s="376"/>
      <c r="U33" s="376"/>
      <c r="V33" s="377"/>
      <c r="W33" s="155">
        <f>SUM(W9:W32)</f>
        <v>15786</v>
      </c>
      <c r="X33" s="155">
        <f>SUM(X9:X32)</f>
        <v>15787.5</v>
      </c>
      <c r="Y33" s="155">
        <f>SUM(Y9:Y32)</f>
        <v>13417</v>
      </c>
      <c r="Z33" s="156">
        <f>SUM(W33:Y33)</f>
        <v>44990.5</v>
      </c>
      <c r="AA33" s="157"/>
    </row>
    <row r="34" spans="1:27" s="2" customFormat="1" ht="21.75" customHeight="1" x14ac:dyDescent="0.2">
      <c r="A34" s="4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24"/>
      <c r="S34" s="378" t="s">
        <v>171</v>
      </c>
      <c r="T34" s="379"/>
      <c r="U34" s="379"/>
      <c r="V34" s="380"/>
      <c r="W34" s="158">
        <f>W33/0.8</f>
        <v>19732.5</v>
      </c>
      <c r="X34" s="158">
        <f>X33/0.8</f>
        <v>19734.375</v>
      </c>
      <c r="Y34" s="158">
        <f>Y33/0.8</f>
        <v>16771.25</v>
      </c>
      <c r="Z34" s="159">
        <f>SUM(W34:Y34)</f>
        <v>56238.125</v>
      </c>
      <c r="AA34" s="157"/>
    </row>
    <row r="35" spans="1:27" s="2" customFormat="1" ht="20.100000000000001" customHeight="1" x14ac:dyDescent="0.2">
      <c r="A35" s="4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24"/>
      <c r="S35" s="378" t="s">
        <v>170</v>
      </c>
      <c r="T35" s="379"/>
      <c r="U35" s="379"/>
      <c r="V35" s="380"/>
      <c r="W35" s="393">
        <v>0.7</v>
      </c>
      <c r="X35" s="394"/>
      <c r="Y35" s="395"/>
      <c r="Z35" s="160"/>
    </row>
    <row r="36" spans="1:27" s="2" customFormat="1" ht="20.100000000000001" customHeight="1" thickBot="1" x14ac:dyDescent="0.25">
      <c r="A36" s="15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7"/>
      <c r="S36" s="358" t="s">
        <v>172</v>
      </c>
      <c r="T36" s="359"/>
      <c r="U36" s="359"/>
      <c r="V36" s="360"/>
      <c r="W36" s="361">
        <f>(W35*Z34)/1000</f>
        <v>39.366687499999998</v>
      </c>
      <c r="X36" s="362"/>
      <c r="Y36" s="161" t="s">
        <v>43</v>
      </c>
      <c r="Z36" s="162"/>
    </row>
    <row r="37" spans="1:27" s="2" customFormat="1" ht="20.100000000000001" customHeight="1" x14ac:dyDescent="0.2">
      <c r="A37" s="4" t="s">
        <v>78</v>
      </c>
      <c r="B37" s="18" t="s">
        <v>79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0"/>
      <c r="V37" s="180"/>
      <c r="W37" s="19"/>
      <c r="X37" s="19"/>
      <c r="Y37" s="19"/>
      <c r="Z37" s="127"/>
    </row>
    <row r="38" spans="1:27" s="2" customFormat="1" ht="33.75" customHeight="1" x14ac:dyDescent="0.2">
      <c r="A38" s="25" t="s">
        <v>77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18"/>
      <c r="V38" s="18"/>
      <c r="W38" s="19"/>
      <c r="X38" s="19"/>
      <c r="Y38" s="19"/>
      <c r="Z38" s="127"/>
    </row>
    <row r="39" spans="1:27" s="2" customFormat="1" ht="20.100000000000001" customHeight="1" thickBot="1" x14ac:dyDescent="0.25">
      <c r="A39" s="21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16"/>
      <c r="V39" s="16"/>
      <c r="W39" s="23"/>
      <c r="X39" s="23"/>
      <c r="Y39" s="23"/>
      <c r="Z39" s="128"/>
    </row>
  </sheetData>
  <mergeCells count="41">
    <mergeCell ref="W35:Y35"/>
    <mergeCell ref="S36:V36"/>
    <mergeCell ref="W36:X36"/>
    <mergeCell ref="B9:B14"/>
    <mergeCell ref="B15:B20"/>
    <mergeCell ref="B21:B26"/>
    <mergeCell ref="B27:B32"/>
    <mergeCell ref="S33:V33"/>
    <mergeCell ref="S34:V34"/>
    <mergeCell ref="S35:V35"/>
    <mergeCell ref="A9:A32"/>
    <mergeCell ref="E9:E11"/>
    <mergeCell ref="F9:F11"/>
    <mergeCell ref="G9:G11"/>
    <mergeCell ref="H9:H11"/>
    <mergeCell ref="V4:W4"/>
    <mergeCell ref="X4:Z4"/>
    <mergeCell ref="A5:A8"/>
    <mergeCell ref="B5:B8"/>
    <mergeCell ref="C5:C8"/>
    <mergeCell ref="D5:D8"/>
    <mergeCell ref="E5:E8"/>
    <mergeCell ref="F5:F8"/>
    <mergeCell ref="G5:G8"/>
    <mergeCell ref="H5:H8"/>
    <mergeCell ref="H1:U1"/>
    <mergeCell ref="H2:U2"/>
    <mergeCell ref="W2:X2"/>
    <mergeCell ref="Z5:Z8"/>
    <mergeCell ref="R6:R8"/>
    <mergeCell ref="S6:S8"/>
    <mergeCell ref="T6:T8"/>
    <mergeCell ref="U6:U8"/>
    <mergeCell ref="W7:W8"/>
    <mergeCell ref="X7:X8"/>
    <mergeCell ref="Y7:Y8"/>
    <mergeCell ref="I5:U5"/>
    <mergeCell ref="V5:V8"/>
    <mergeCell ref="W5:Y5"/>
    <mergeCell ref="Y2:Z2"/>
    <mergeCell ref="Y3:Z3"/>
  </mergeCells>
  <printOptions horizontalCentered="1"/>
  <pageMargins left="0.53" right="0.14000000000000001" top="0.52" bottom="0.21" header="0.17" footer="0.17"/>
  <pageSetup paperSize="9" scale="42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AJ45"/>
  <sheetViews>
    <sheetView view="pageBreakPreview" zoomScale="70" zoomScaleNormal="100" zoomScaleSheetLayoutView="70" workbookViewId="0">
      <pane xSplit="4" ySplit="8" topLeftCell="E15" activePane="bottomRight" state="frozen"/>
      <selection activeCell="P23" sqref="P23"/>
      <selection pane="topRight" activeCell="P23" sqref="P23"/>
      <selection pane="bottomLeft" activeCell="P23" sqref="P23"/>
      <selection pane="bottomRight" activeCell="O30" sqref="O30"/>
    </sheetView>
  </sheetViews>
  <sheetFormatPr defaultRowHeight="12.75" x14ac:dyDescent="0.2"/>
  <cols>
    <col min="1" max="1" width="12.140625" style="163" customWidth="1"/>
    <col min="2" max="2" width="9" style="163" customWidth="1"/>
    <col min="3" max="5" width="6.42578125" style="163" customWidth="1"/>
    <col min="6" max="7" width="6.7109375" style="163" customWidth="1"/>
    <col min="8" max="8" width="58.42578125" style="163" customWidth="1"/>
    <col min="9" max="9" width="7" style="163" hidden="1" customWidth="1"/>
    <col min="10" max="13" width="6.7109375" style="163" hidden="1" customWidth="1"/>
    <col min="14" max="27" width="9.5703125" style="163" customWidth="1"/>
    <col min="28" max="29" width="9.7109375" style="163" customWidth="1"/>
    <col min="30" max="30" width="7.5703125" style="163" customWidth="1"/>
    <col min="31" max="31" width="12.28515625" style="163" customWidth="1"/>
    <col min="32" max="32" width="9.28515625" style="163" customWidth="1"/>
    <col min="33" max="33" width="9.7109375" style="163" customWidth="1"/>
    <col min="34" max="34" width="7.7109375" style="163" customWidth="1"/>
    <col min="35" max="35" width="16.85546875" style="163" customWidth="1"/>
    <col min="36" max="16384" width="9.140625" style="163"/>
  </cols>
  <sheetData>
    <row r="1" spans="1:35" s="151" customFormat="1" ht="19.5" customHeight="1" x14ac:dyDescent="0.25">
      <c r="A1" s="10" t="s">
        <v>32</v>
      </c>
      <c r="B1" s="11" t="s">
        <v>50</v>
      </c>
      <c r="C1" s="7"/>
      <c r="D1" s="7"/>
      <c r="E1" s="7"/>
      <c r="F1" s="7"/>
      <c r="G1" s="7"/>
      <c r="H1" s="332" t="s">
        <v>56</v>
      </c>
      <c r="I1" s="332"/>
      <c r="J1" s="332"/>
      <c r="K1" s="332"/>
      <c r="L1" s="332"/>
      <c r="M1" s="332"/>
      <c r="N1" s="332"/>
      <c r="O1" s="332"/>
      <c r="P1" s="332"/>
      <c r="Q1" s="332"/>
      <c r="R1" s="332"/>
      <c r="S1" s="332"/>
      <c r="T1" s="332"/>
      <c r="U1" s="332"/>
      <c r="V1" s="332"/>
      <c r="W1" s="332"/>
      <c r="X1" s="332"/>
      <c r="Y1" s="332"/>
      <c r="Z1" s="332"/>
      <c r="AA1" s="332"/>
      <c r="AB1" s="332"/>
      <c r="AC1" s="332"/>
      <c r="AD1" s="332"/>
      <c r="AE1" s="7"/>
      <c r="AF1" s="7"/>
      <c r="AG1" s="7"/>
      <c r="AH1" s="7"/>
      <c r="AI1" s="8"/>
    </row>
    <row r="2" spans="1:35" s="2" customFormat="1" ht="19.5" customHeight="1" x14ac:dyDescent="0.25">
      <c r="A2" s="9" t="s">
        <v>234</v>
      </c>
      <c r="B2" s="3"/>
      <c r="C2" s="1"/>
      <c r="H2" s="333" t="s">
        <v>55</v>
      </c>
      <c r="I2" s="333"/>
      <c r="J2" s="333"/>
      <c r="K2" s="333"/>
      <c r="L2" s="333"/>
      <c r="M2" s="333"/>
      <c r="N2" s="333"/>
      <c r="O2" s="333"/>
      <c r="P2" s="333"/>
      <c r="Q2" s="333"/>
      <c r="R2" s="333"/>
      <c r="S2" s="333"/>
      <c r="T2" s="333"/>
      <c r="U2" s="333"/>
      <c r="V2" s="333"/>
      <c r="W2" s="333"/>
      <c r="X2" s="333"/>
      <c r="Y2" s="333"/>
      <c r="Z2" s="333"/>
      <c r="AA2" s="333"/>
      <c r="AB2" s="333"/>
      <c r="AC2" s="333"/>
      <c r="AD2" s="333"/>
      <c r="AF2" s="334"/>
      <c r="AG2" s="334"/>
      <c r="AH2" s="335"/>
      <c r="AI2" s="336"/>
    </row>
    <row r="3" spans="1:35" s="2" customFormat="1" ht="19.5" customHeight="1" x14ac:dyDescent="0.25">
      <c r="A3" s="9" t="s">
        <v>142</v>
      </c>
      <c r="B3" s="3"/>
      <c r="C3" s="3"/>
      <c r="D3" s="3"/>
      <c r="E3" s="3"/>
      <c r="F3" s="3"/>
      <c r="AF3" s="3"/>
      <c r="AG3" s="3"/>
      <c r="AH3" s="335"/>
      <c r="AI3" s="336"/>
    </row>
    <row r="4" spans="1:35" s="2" customFormat="1" ht="19.5" customHeight="1" thickBot="1" x14ac:dyDescent="0.3">
      <c r="A4" s="14" t="s">
        <v>90</v>
      </c>
      <c r="B4" s="12"/>
      <c r="C4" s="12"/>
      <c r="D4" s="12"/>
      <c r="E4" s="12"/>
      <c r="F4" s="12"/>
      <c r="G4" s="12"/>
      <c r="H4" s="12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337" t="s">
        <v>57</v>
      </c>
      <c r="AF4" s="337"/>
      <c r="AG4" s="338" t="s">
        <v>143</v>
      </c>
      <c r="AH4" s="338"/>
      <c r="AI4" s="339"/>
    </row>
    <row r="5" spans="1:35" s="2" customFormat="1" ht="21.75" customHeight="1" x14ac:dyDescent="0.2">
      <c r="A5" s="349" t="s">
        <v>0</v>
      </c>
      <c r="B5" s="352" t="s">
        <v>1</v>
      </c>
      <c r="C5" s="329" t="s">
        <v>2</v>
      </c>
      <c r="D5" s="329" t="s">
        <v>3</v>
      </c>
      <c r="E5" s="329" t="s">
        <v>4</v>
      </c>
      <c r="F5" s="329" t="s">
        <v>5</v>
      </c>
      <c r="G5" s="329" t="s">
        <v>6</v>
      </c>
      <c r="H5" s="371" t="s">
        <v>7</v>
      </c>
      <c r="I5" s="374" t="s">
        <v>8</v>
      </c>
      <c r="J5" s="341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W5" s="341"/>
      <c r="X5" s="341"/>
      <c r="Y5" s="341"/>
      <c r="Z5" s="341"/>
      <c r="AA5" s="341"/>
      <c r="AB5" s="341"/>
      <c r="AC5" s="341"/>
      <c r="AD5" s="342"/>
      <c r="AE5" s="329" t="s">
        <v>54</v>
      </c>
      <c r="AF5" s="340" t="s">
        <v>9</v>
      </c>
      <c r="AG5" s="341"/>
      <c r="AH5" s="342"/>
      <c r="AI5" s="343" t="s">
        <v>10</v>
      </c>
    </row>
    <row r="6" spans="1:35" s="2" customFormat="1" ht="21.75" customHeight="1" x14ac:dyDescent="0.2">
      <c r="A6" s="350"/>
      <c r="B6" s="353"/>
      <c r="C6" s="330"/>
      <c r="D6" s="330"/>
      <c r="E6" s="330"/>
      <c r="F6" s="330"/>
      <c r="G6" s="330"/>
      <c r="H6" s="372"/>
      <c r="I6" s="125"/>
      <c r="J6" s="26"/>
      <c r="K6" s="26"/>
      <c r="L6" s="26"/>
      <c r="M6" s="26"/>
      <c r="N6" s="129" t="s">
        <v>52</v>
      </c>
      <c r="O6" s="129" t="s">
        <v>52</v>
      </c>
      <c r="P6" s="129" t="s">
        <v>52</v>
      </c>
      <c r="Q6" s="129" t="s">
        <v>52</v>
      </c>
      <c r="R6" s="129" t="s">
        <v>52</v>
      </c>
      <c r="S6" s="129" t="s">
        <v>52</v>
      </c>
      <c r="T6" s="129" t="s">
        <v>52</v>
      </c>
      <c r="U6" s="406" t="s">
        <v>81</v>
      </c>
      <c r="V6" s="407"/>
      <c r="W6" s="407"/>
      <c r="X6" s="407"/>
      <c r="Y6" s="408"/>
      <c r="Z6" s="64" t="s">
        <v>52</v>
      </c>
      <c r="AA6" s="64" t="s">
        <v>146</v>
      </c>
      <c r="AB6" s="64" t="s">
        <v>147</v>
      </c>
      <c r="AC6" s="368" t="s">
        <v>303</v>
      </c>
      <c r="AD6" s="346" t="s">
        <v>42</v>
      </c>
      <c r="AE6" s="330"/>
      <c r="AF6" s="179"/>
      <c r="AG6" s="179"/>
      <c r="AH6" s="179"/>
      <c r="AI6" s="344"/>
    </row>
    <row r="7" spans="1:35" s="2" customFormat="1" ht="21.75" customHeight="1" x14ac:dyDescent="0.2">
      <c r="A7" s="350"/>
      <c r="B7" s="353"/>
      <c r="C7" s="330"/>
      <c r="D7" s="330"/>
      <c r="E7" s="330"/>
      <c r="F7" s="330"/>
      <c r="G7" s="330"/>
      <c r="H7" s="372"/>
      <c r="I7" s="125"/>
      <c r="J7" s="26"/>
      <c r="K7" s="26"/>
      <c r="L7" s="26"/>
      <c r="M7" s="26"/>
      <c r="N7" s="181">
        <v>101</v>
      </c>
      <c r="O7" s="181">
        <v>102</v>
      </c>
      <c r="P7" s="181">
        <v>601</v>
      </c>
      <c r="Q7" s="181">
        <v>602</v>
      </c>
      <c r="R7" s="181">
        <v>701</v>
      </c>
      <c r="S7" s="181">
        <v>702</v>
      </c>
      <c r="T7" s="181">
        <v>703</v>
      </c>
      <c r="U7" s="178" t="s">
        <v>80</v>
      </c>
      <c r="V7" s="178" t="s">
        <v>144</v>
      </c>
      <c r="W7" s="178" t="s">
        <v>82</v>
      </c>
      <c r="X7" s="178" t="s">
        <v>83</v>
      </c>
      <c r="Y7" s="178" t="s">
        <v>145</v>
      </c>
      <c r="Z7" s="178">
        <v>704</v>
      </c>
      <c r="AA7" s="181"/>
      <c r="AB7" s="181" t="s">
        <v>148</v>
      </c>
      <c r="AC7" s="409"/>
      <c r="AD7" s="330"/>
      <c r="AE7" s="330"/>
      <c r="AF7" s="347" t="s">
        <v>14</v>
      </c>
      <c r="AG7" s="347" t="s">
        <v>15</v>
      </c>
      <c r="AH7" s="347" t="s">
        <v>16</v>
      </c>
      <c r="AI7" s="344"/>
    </row>
    <row r="8" spans="1:35" s="2" customFormat="1" ht="21.75" customHeight="1" thickBot="1" x14ac:dyDescent="0.25">
      <c r="A8" s="351"/>
      <c r="B8" s="354"/>
      <c r="C8" s="331"/>
      <c r="D8" s="331"/>
      <c r="E8" s="331"/>
      <c r="F8" s="331"/>
      <c r="G8" s="331"/>
      <c r="H8" s="373"/>
      <c r="I8" s="133" t="s">
        <v>11</v>
      </c>
      <c r="J8" s="178" t="s">
        <v>46</v>
      </c>
      <c r="K8" s="178" t="s">
        <v>47</v>
      </c>
      <c r="L8" s="178" t="s">
        <v>48</v>
      </c>
      <c r="M8" s="181" t="s">
        <v>12</v>
      </c>
      <c r="N8" s="181">
        <v>15</v>
      </c>
      <c r="O8" s="181">
        <v>15</v>
      </c>
      <c r="P8" s="181">
        <v>20</v>
      </c>
      <c r="Q8" s="181">
        <v>50</v>
      </c>
      <c r="R8" s="181">
        <v>50</v>
      </c>
      <c r="S8" s="181">
        <v>50</v>
      </c>
      <c r="T8" s="181">
        <v>50</v>
      </c>
      <c r="U8" s="181">
        <v>20</v>
      </c>
      <c r="V8" s="181">
        <v>15</v>
      </c>
      <c r="W8" s="181">
        <v>100</v>
      </c>
      <c r="X8" s="181">
        <v>20</v>
      </c>
      <c r="Y8" s="181">
        <v>15</v>
      </c>
      <c r="Z8" s="181">
        <v>20</v>
      </c>
      <c r="AA8" s="181">
        <v>200</v>
      </c>
      <c r="AB8" s="181">
        <v>50</v>
      </c>
      <c r="AC8" s="238">
        <v>50</v>
      </c>
      <c r="AD8" s="331"/>
      <c r="AE8" s="331"/>
      <c r="AF8" s="348"/>
      <c r="AG8" s="348"/>
      <c r="AH8" s="348"/>
      <c r="AI8" s="345"/>
    </row>
    <row r="9" spans="1:35" s="2" customFormat="1" ht="21.75" customHeight="1" x14ac:dyDescent="0.2">
      <c r="A9" s="363" t="s">
        <v>88</v>
      </c>
      <c r="B9" s="365" t="s">
        <v>51</v>
      </c>
      <c r="C9" s="58">
        <v>1</v>
      </c>
      <c r="D9" s="27" t="s">
        <v>17</v>
      </c>
      <c r="E9" s="112">
        <v>16</v>
      </c>
      <c r="F9" s="114">
        <v>2.5</v>
      </c>
      <c r="G9" s="114">
        <v>2.5</v>
      </c>
      <c r="H9" s="112" t="s">
        <v>230</v>
      </c>
      <c r="I9" s="112"/>
      <c r="J9" s="28"/>
      <c r="K9" s="28"/>
      <c r="L9" s="110"/>
      <c r="M9" s="110"/>
      <c r="N9" s="110">
        <v>7.5</v>
      </c>
      <c r="O9" s="110">
        <f>4.1+3.3+3+3</f>
        <v>13.399999999999999</v>
      </c>
      <c r="P9" s="110"/>
      <c r="Q9" s="110"/>
      <c r="R9" s="110">
        <v>3</v>
      </c>
      <c r="S9" s="110"/>
      <c r="T9" s="110"/>
      <c r="U9" s="110">
        <v>2</v>
      </c>
      <c r="V9" s="110">
        <v>3.3</v>
      </c>
      <c r="W9" s="110"/>
      <c r="X9" s="110"/>
      <c r="Y9" s="110"/>
      <c r="Z9" s="110"/>
      <c r="AA9" s="110"/>
      <c r="AB9" s="110"/>
      <c r="AC9" s="110"/>
      <c r="AD9" s="110"/>
      <c r="AE9" s="49"/>
      <c r="AF9" s="36">
        <f>SUM($N9*$N$8,$O9*$O$8,$P9*$P$8,$Q9*$Q$8,$R9*$R$8,$S9*$S$8,$T9*$T$8,$U9*$U$8,$V9*$V$8,$W9*$W$8,$X9*$X$8,$Y9*$Y$8,$Z9*$Z$8,$AA9*$AA$8,$AB9*$AB$8)</f>
        <v>553</v>
      </c>
      <c r="AG9" s="182"/>
      <c r="AH9" s="110"/>
      <c r="AI9" s="34"/>
    </row>
    <row r="10" spans="1:35" s="139" customFormat="1" ht="21.75" customHeight="1" x14ac:dyDescent="0.2">
      <c r="A10" s="364"/>
      <c r="B10" s="366"/>
      <c r="C10" s="257">
        <v>2</v>
      </c>
      <c r="D10" s="258" t="s">
        <v>18</v>
      </c>
      <c r="E10" s="259">
        <v>10</v>
      </c>
      <c r="F10" s="243">
        <v>2.5</v>
      </c>
      <c r="G10" s="243">
        <v>2.5</v>
      </c>
      <c r="H10" s="259" t="s">
        <v>149</v>
      </c>
      <c r="I10" s="246"/>
      <c r="J10" s="260"/>
      <c r="K10" s="260"/>
      <c r="L10" s="246"/>
      <c r="M10" s="246"/>
      <c r="N10" s="246">
        <f>5.4+5.9+5.5+1.4+1.2+1.2+1.2</f>
        <v>21.799999999999997</v>
      </c>
      <c r="O10" s="246">
        <v>1.2</v>
      </c>
      <c r="P10" s="246"/>
      <c r="Q10" s="246"/>
      <c r="R10" s="246">
        <v>5</v>
      </c>
      <c r="S10" s="246">
        <f>1+2+1+1+2+2+2</f>
        <v>11</v>
      </c>
      <c r="T10" s="246"/>
      <c r="U10" s="246"/>
      <c r="V10" s="246"/>
      <c r="W10" s="246"/>
      <c r="X10" s="246"/>
      <c r="Y10" s="246"/>
      <c r="Z10" s="246"/>
      <c r="AA10" s="246">
        <v>3</v>
      </c>
      <c r="AB10" s="246"/>
      <c r="AC10" s="246">
        <v>4</v>
      </c>
      <c r="AD10" s="246"/>
      <c r="AE10" s="250"/>
      <c r="AF10" s="246"/>
      <c r="AG10" s="261">
        <f>SUM($N10*$N$8,$O10*$O$8,$P10*$P$8,$Q10*$Q$8,$R10*$R$8,$S10*$S$8,$T10*$T$8,$U10*$U$8,$V10*$V$8,$W10*$W$8,$X10*$X$8,$Y10*$Y$8,$Z10*$Z$8,$AA10*$AA$8,$AB10*$AB$8)</f>
        <v>1745</v>
      </c>
      <c r="AH10" s="262"/>
      <c r="AI10" s="263"/>
    </row>
    <row r="11" spans="1:35" s="2" customFormat="1" ht="21.75" customHeight="1" x14ac:dyDescent="0.2">
      <c r="A11" s="364"/>
      <c r="B11" s="366"/>
      <c r="C11" s="59">
        <v>3</v>
      </c>
      <c r="D11" s="29" t="s">
        <v>19</v>
      </c>
      <c r="E11" s="113">
        <v>16</v>
      </c>
      <c r="F11" s="115">
        <v>2.5</v>
      </c>
      <c r="G11" s="115">
        <v>2.5</v>
      </c>
      <c r="H11" s="113" t="s">
        <v>150</v>
      </c>
      <c r="I11" s="42"/>
      <c r="J11" s="31"/>
      <c r="K11" s="31"/>
      <c r="L11" s="130"/>
      <c r="M11" s="130"/>
      <c r="N11" s="130">
        <f>8.4+7.6</f>
        <v>16</v>
      </c>
      <c r="O11" s="130"/>
      <c r="P11" s="130"/>
      <c r="Q11" s="130"/>
      <c r="R11" s="130">
        <f>30+8</f>
        <v>38</v>
      </c>
      <c r="S11" s="130">
        <f>7+5</f>
        <v>12</v>
      </c>
      <c r="T11" s="130"/>
      <c r="U11" s="130"/>
      <c r="V11" s="130"/>
      <c r="W11" s="130"/>
      <c r="X11" s="130"/>
      <c r="Y11" s="130"/>
      <c r="Z11" s="130">
        <f>1+1</f>
        <v>2</v>
      </c>
      <c r="AA11" s="130">
        <v>2</v>
      </c>
      <c r="AB11" s="130"/>
      <c r="AC11" s="130"/>
      <c r="AD11" s="130"/>
      <c r="AE11" s="44"/>
      <c r="AF11" s="177"/>
      <c r="AG11" s="177"/>
      <c r="AH11" s="62">
        <f>SUM($N11*$N$8,$O11*$O$8,$P11*$P$8,$Q11*$Q$8,$R11*$R$8,$S11*$S$8,$T11*$T$8,$U11*$U$8,$V11*$V$8,$W11*$W$8,$X11*$X$8,$Y11*$Y$8,$Z11*$Z$8,$AA11*$AA$8,$AB11*$AB$8)</f>
        <v>3180</v>
      </c>
      <c r="AI11" s="32"/>
    </row>
    <row r="12" spans="1:35" s="2" customFormat="1" ht="21.75" customHeight="1" x14ac:dyDescent="0.2">
      <c r="A12" s="364"/>
      <c r="B12" s="366"/>
      <c r="C12" s="59">
        <v>4</v>
      </c>
      <c r="D12" s="29" t="s">
        <v>20</v>
      </c>
      <c r="E12" s="113">
        <v>10</v>
      </c>
      <c r="F12" s="115">
        <v>2.5</v>
      </c>
      <c r="G12" s="115">
        <v>2.5</v>
      </c>
      <c r="H12" s="113" t="s">
        <v>151</v>
      </c>
      <c r="I12" s="130"/>
      <c r="J12" s="31"/>
      <c r="K12" s="31"/>
      <c r="L12" s="130"/>
      <c r="M12" s="130"/>
      <c r="N12" s="42">
        <f>3.7+11.7+3</f>
        <v>18.399999999999999</v>
      </c>
      <c r="O12" s="42">
        <f>7.1+3.3+0.9+0.9+0.9</f>
        <v>13.1</v>
      </c>
      <c r="P12" s="42"/>
      <c r="Q12" s="42"/>
      <c r="R12" s="42">
        <v>7</v>
      </c>
      <c r="S12" s="42"/>
      <c r="T12" s="42"/>
      <c r="U12" s="42"/>
      <c r="V12" s="42"/>
      <c r="W12" s="42"/>
      <c r="X12" s="42"/>
      <c r="Y12" s="42"/>
      <c r="Z12" s="42"/>
      <c r="AA12" s="42">
        <v>1</v>
      </c>
      <c r="AB12" s="130"/>
      <c r="AC12" s="130"/>
      <c r="AD12" s="130"/>
      <c r="AE12" s="44"/>
      <c r="AF12" s="37">
        <f>SUM($N12*$N$8,$O12*$O$8,$P12*$P$8,$Q12*$Q$8,$R12*$R$8,$S12*$S$8,$T12*$T$8,$U12*$U$8,$V12*$V$8,$W12*$W$8,$X12*$X$8,$Y12*$Y$8,$Z12*$Z$8,$AA12*$AA$8,$AB12*$AB$8)</f>
        <v>1022.5</v>
      </c>
      <c r="AG12" s="130"/>
      <c r="AH12" s="130"/>
      <c r="AI12" s="132"/>
    </row>
    <row r="13" spans="1:35" s="2" customFormat="1" ht="21.75" customHeight="1" x14ac:dyDescent="0.2">
      <c r="A13" s="364"/>
      <c r="B13" s="366"/>
      <c r="C13" s="59">
        <v>5</v>
      </c>
      <c r="D13" s="29" t="s">
        <v>21</v>
      </c>
      <c r="E13" s="113">
        <v>10</v>
      </c>
      <c r="F13" s="115">
        <v>2.5</v>
      </c>
      <c r="G13" s="115">
        <v>2.5</v>
      </c>
      <c r="H13" s="113" t="s">
        <v>152</v>
      </c>
      <c r="I13" s="42"/>
      <c r="J13" s="31"/>
      <c r="K13" s="31"/>
      <c r="L13" s="130"/>
      <c r="M13" s="130"/>
      <c r="N13" s="130">
        <f>1.4+1.4+8.1+1.4+1.4</f>
        <v>13.7</v>
      </c>
      <c r="O13" s="130">
        <f>1.3+1.3</f>
        <v>2.6</v>
      </c>
      <c r="P13" s="130"/>
      <c r="Q13" s="130"/>
      <c r="R13" s="130">
        <v>4</v>
      </c>
      <c r="S13" s="130">
        <v>2</v>
      </c>
      <c r="T13" s="130"/>
      <c r="U13" s="130"/>
      <c r="V13" s="130"/>
      <c r="W13" s="130"/>
      <c r="X13" s="130"/>
      <c r="Y13" s="130"/>
      <c r="Z13" s="130"/>
      <c r="AA13" s="130">
        <v>2</v>
      </c>
      <c r="AB13" s="130"/>
      <c r="AC13" s="130"/>
      <c r="AD13" s="130"/>
      <c r="AE13" s="44"/>
      <c r="AF13" s="130"/>
      <c r="AG13" s="37">
        <f>SUM($N13*$N$8,$O13*$O$8,$P13*$P$8,$Q13*$Q$8,$R13*$R$8,$S13*$S$8,$T13*$T$8,$U13*$U$8,$V13*$V$8,$W13*$W$8,$X13*$X$8,$Y13*$Y$8,$Z13*$Z$8,$AA13*$AA$8,$AB13*$AB$8)</f>
        <v>944.5</v>
      </c>
      <c r="AH13" s="177"/>
      <c r="AI13" s="132"/>
    </row>
    <row r="14" spans="1:35" s="139" customFormat="1" ht="21.75" customHeight="1" thickBot="1" x14ac:dyDescent="0.25">
      <c r="A14" s="364"/>
      <c r="B14" s="367"/>
      <c r="C14" s="277">
        <v>6</v>
      </c>
      <c r="D14" s="278" t="s">
        <v>22</v>
      </c>
      <c r="E14" s="268">
        <v>10</v>
      </c>
      <c r="F14" s="269">
        <v>2.5</v>
      </c>
      <c r="G14" s="269">
        <v>2.5</v>
      </c>
      <c r="H14" s="268" t="s">
        <v>153</v>
      </c>
      <c r="I14" s="274"/>
      <c r="J14" s="279"/>
      <c r="K14" s="279"/>
      <c r="L14" s="274"/>
      <c r="M14" s="274"/>
      <c r="N14" s="274"/>
      <c r="O14" s="274">
        <f>3.4+3.5+3+3+1.9+1.9</f>
        <v>16.7</v>
      </c>
      <c r="P14" s="274"/>
      <c r="Q14" s="274"/>
      <c r="R14" s="274"/>
      <c r="S14" s="274"/>
      <c r="T14" s="274"/>
      <c r="U14" s="274">
        <v>8</v>
      </c>
      <c r="V14" s="274"/>
      <c r="W14" s="274"/>
      <c r="X14" s="274">
        <f>5+2</f>
        <v>7</v>
      </c>
      <c r="Y14" s="274"/>
      <c r="Z14" s="274"/>
      <c r="AA14" s="274"/>
      <c r="AB14" s="274"/>
      <c r="AC14" s="274"/>
      <c r="AD14" s="274"/>
      <c r="AE14" s="280"/>
      <c r="AF14" s="274"/>
      <c r="AG14" s="274"/>
      <c r="AH14" s="275">
        <f>SUM($N14*$N$8,$O14*$O$8,$P14*$P$8,$Q14*$Q$8,$R14*$R$8,$S14*$S$8,$T14*$T$8,$U14*$U$8,$V14*$V$8,$W14*$W$8,$X14*$X$8,$Y14*$Y$8,$Z14*$Z$8,$AA14*$AA$8,$AB14*$AB$8)</f>
        <v>550.5</v>
      </c>
      <c r="AI14" s="281"/>
    </row>
    <row r="15" spans="1:35" s="139" customFormat="1" ht="21.75" customHeight="1" x14ac:dyDescent="0.2">
      <c r="A15" s="364"/>
      <c r="B15" s="365" t="s">
        <v>51</v>
      </c>
      <c r="C15" s="240">
        <v>7</v>
      </c>
      <c r="D15" s="241" t="s">
        <v>33</v>
      </c>
      <c r="E15" s="242">
        <v>10</v>
      </c>
      <c r="F15" s="251">
        <v>2.5</v>
      </c>
      <c r="G15" s="251">
        <v>2.5</v>
      </c>
      <c r="H15" s="242" t="s">
        <v>154</v>
      </c>
      <c r="I15" s="244"/>
      <c r="J15" s="252"/>
      <c r="K15" s="252"/>
      <c r="L15" s="248"/>
      <c r="M15" s="248"/>
      <c r="N15" s="248">
        <v>17.100000000000001</v>
      </c>
      <c r="O15" s="248"/>
      <c r="P15" s="248"/>
      <c r="Q15" s="248"/>
      <c r="R15" s="248">
        <v>6</v>
      </c>
      <c r="S15" s="248">
        <v>3</v>
      </c>
      <c r="T15" s="248"/>
      <c r="U15" s="248"/>
      <c r="V15" s="248"/>
      <c r="W15" s="248"/>
      <c r="X15" s="248"/>
      <c r="Y15" s="248">
        <v>3.5</v>
      </c>
      <c r="Z15" s="248"/>
      <c r="AA15" s="248">
        <v>2</v>
      </c>
      <c r="AB15" s="244"/>
      <c r="AC15" s="244">
        <v>4</v>
      </c>
      <c r="AD15" s="248"/>
      <c r="AE15" s="253"/>
      <c r="AF15" s="254">
        <f>SUM($N15*$N$8,$O15*$O$8,$P15*$P$8,$Q15*$Q$8,$R15*$R$8,$S15*$S$8,$T15*$T$8,$U15*$U$8,$V15*$V$8,$W15*$W$8,$X15*$X$8,$Y15*$Y$8,$Z15*$Z$8,$AA15*$AA$8,$AB15*$AB$8,AC15*AC8)</f>
        <v>1359</v>
      </c>
      <c r="AG15" s="255"/>
      <c r="AH15" s="256"/>
      <c r="AI15" s="249"/>
    </row>
    <row r="16" spans="1:35" s="2" customFormat="1" ht="21.75" customHeight="1" x14ac:dyDescent="0.2">
      <c r="A16" s="364"/>
      <c r="B16" s="366"/>
      <c r="C16" s="59">
        <v>8</v>
      </c>
      <c r="D16" s="29" t="s">
        <v>34</v>
      </c>
      <c r="E16" s="113">
        <v>10</v>
      </c>
      <c r="F16" s="115">
        <v>2.5</v>
      </c>
      <c r="G16" s="115">
        <v>2.5</v>
      </c>
      <c r="H16" s="113" t="s">
        <v>53</v>
      </c>
      <c r="I16" s="30"/>
      <c r="J16" s="31"/>
      <c r="K16" s="31"/>
      <c r="L16" s="130"/>
      <c r="M16" s="130"/>
      <c r="N16" s="130"/>
      <c r="O16" s="130"/>
      <c r="P16" s="130"/>
      <c r="Q16" s="130"/>
      <c r="R16" s="130">
        <v>16</v>
      </c>
      <c r="S16" s="130"/>
      <c r="T16" s="130"/>
      <c r="U16" s="130"/>
      <c r="V16" s="130"/>
      <c r="W16" s="130"/>
      <c r="X16" s="130"/>
      <c r="Y16" s="130"/>
      <c r="Z16" s="130" t="s">
        <v>236</v>
      </c>
      <c r="AA16" s="130"/>
      <c r="AB16" s="130"/>
      <c r="AC16" s="130"/>
      <c r="AD16" s="130"/>
      <c r="AE16" s="44"/>
      <c r="AF16" s="130"/>
      <c r="AG16" s="37">
        <f>SUM(N16*N8,R16*R8)</f>
        <v>800</v>
      </c>
      <c r="AH16" s="177"/>
      <c r="AI16" s="32"/>
    </row>
    <row r="17" spans="1:35" s="2" customFormat="1" ht="21.75" customHeight="1" x14ac:dyDescent="0.2">
      <c r="A17" s="364"/>
      <c r="B17" s="366"/>
      <c r="C17" s="59">
        <v>9</v>
      </c>
      <c r="D17" s="29" t="s">
        <v>35</v>
      </c>
      <c r="E17" s="113">
        <v>10</v>
      </c>
      <c r="F17" s="115">
        <v>2.5</v>
      </c>
      <c r="G17" s="115">
        <v>2.5</v>
      </c>
      <c r="H17" s="113" t="s">
        <v>155</v>
      </c>
      <c r="I17" s="30"/>
      <c r="J17" s="31"/>
      <c r="K17" s="31"/>
      <c r="L17" s="130"/>
      <c r="M17" s="130"/>
      <c r="N17" s="130">
        <f>3.6+1.8</f>
        <v>5.4</v>
      </c>
      <c r="O17" s="130">
        <f>7.3+1+2.2+2.1</f>
        <v>12.6</v>
      </c>
      <c r="P17" s="130"/>
      <c r="Q17" s="130"/>
      <c r="R17" s="130">
        <v>5</v>
      </c>
      <c r="S17" s="130"/>
      <c r="T17" s="130"/>
      <c r="U17" s="130">
        <v>4</v>
      </c>
      <c r="V17" s="130"/>
      <c r="W17" s="130"/>
      <c r="X17" s="130"/>
      <c r="Y17" s="130"/>
      <c r="Z17" s="130"/>
      <c r="AA17" s="130"/>
      <c r="AB17" s="130"/>
      <c r="AC17" s="130"/>
      <c r="AD17" s="130"/>
      <c r="AE17" s="44"/>
      <c r="AF17" s="177"/>
      <c r="AG17" s="177"/>
      <c r="AH17" s="62">
        <f>SUM($N17*$N$8,$O17*$O$8,$P17*$P$8,$Q17*$Q$8,$R17*$R$8,$S17*$S$8,$T17*$T$8,$U17*$U$8,$V17*$V$8,$W17*$W$8,$X17*$X$8,$Y17*$Y$8,$Z17*$Z$8,$AA17*$AA$8,$AB17*$AB$8)</f>
        <v>600</v>
      </c>
      <c r="AI17" s="32"/>
    </row>
    <row r="18" spans="1:35" s="2" customFormat="1" ht="21.75" customHeight="1" x14ac:dyDescent="0.2">
      <c r="A18" s="364"/>
      <c r="B18" s="366"/>
      <c r="C18" s="257">
        <v>10</v>
      </c>
      <c r="D18" s="258" t="s">
        <v>23</v>
      </c>
      <c r="E18" s="259">
        <v>10</v>
      </c>
      <c r="F18" s="243">
        <v>2.5</v>
      </c>
      <c r="G18" s="243">
        <v>2.5</v>
      </c>
      <c r="H18" s="259" t="s">
        <v>233</v>
      </c>
      <c r="I18" s="282"/>
      <c r="J18" s="260"/>
      <c r="K18" s="260"/>
      <c r="L18" s="246"/>
      <c r="M18" s="246"/>
      <c r="N18" s="283">
        <f>1.2+1.2</f>
        <v>2.4</v>
      </c>
      <c r="O18" s="283">
        <f>2.3+1.2+3.7</f>
        <v>7.2</v>
      </c>
      <c r="P18" s="283"/>
      <c r="Q18" s="283"/>
      <c r="R18" s="283">
        <v>1</v>
      </c>
      <c r="S18" s="283">
        <v>1</v>
      </c>
      <c r="T18" s="283"/>
      <c r="U18" s="283">
        <v>2</v>
      </c>
      <c r="V18" s="283"/>
      <c r="W18" s="283"/>
      <c r="X18" s="283"/>
      <c r="Y18" s="283"/>
      <c r="Z18" s="283"/>
      <c r="AA18" s="283">
        <v>1</v>
      </c>
      <c r="AB18" s="283"/>
      <c r="AC18" s="283">
        <v>2</v>
      </c>
      <c r="AD18" s="246"/>
      <c r="AE18" s="250"/>
      <c r="AF18" s="261">
        <f>SUM($N18*$N$8,$O18*$O$8,$P18*$P$8,$Q18*$Q$8,$R18*$R$8,$S18*$S$8,$T18*$T$8,$U18*$U$8,$V18*$V$8,$W18*$W$8,$X18*$X$8,$Y18*$Y$8,$Z18*$Z$8,$AA18*$AA$8,$AB18*$AB$8)</f>
        <v>484</v>
      </c>
      <c r="AG18" s="246"/>
      <c r="AH18" s="246"/>
      <c r="AI18" s="263"/>
    </row>
    <row r="19" spans="1:35" s="139" customFormat="1" ht="21.75" customHeight="1" x14ac:dyDescent="0.2">
      <c r="A19" s="364"/>
      <c r="B19" s="366"/>
      <c r="C19" s="257">
        <v>11</v>
      </c>
      <c r="D19" s="258" t="s">
        <v>24</v>
      </c>
      <c r="E19" s="259">
        <v>10</v>
      </c>
      <c r="F19" s="243">
        <v>2.5</v>
      </c>
      <c r="G19" s="243">
        <v>2.5</v>
      </c>
      <c r="H19" s="259" t="s">
        <v>231</v>
      </c>
      <c r="I19" s="265"/>
      <c r="J19" s="260"/>
      <c r="K19" s="260"/>
      <c r="L19" s="246"/>
      <c r="M19" s="246"/>
      <c r="N19" s="246">
        <f>1.4+6.5+1.7+5.5+1.2+1.2+1.2</f>
        <v>18.7</v>
      </c>
      <c r="O19" s="246"/>
      <c r="P19" s="246"/>
      <c r="Q19" s="246"/>
      <c r="R19" s="246">
        <v>4</v>
      </c>
      <c r="S19" s="246">
        <f>2+1+1+1+2+2+2</f>
        <v>11</v>
      </c>
      <c r="T19" s="246"/>
      <c r="U19" s="246"/>
      <c r="V19" s="246"/>
      <c r="W19" s="246"/>
      <c r="X19" s="246"/>
      <c r="Y19" s="246"/>
      <c r="Z19" s="246"/>
      <c r="AA19" s="246">
        <v>3</v>
      </c>
      <c r="AB19" s="246"/>
      <c r="AC19" s="246">
        <v>2</v>
      </c>
      <c r="AD19" s="246"/>
      <c r="AE19" s="250"/>
      <c r="AF19" s="246"/>
      <c r="AG19" s="261">
        <f>SUM($N19*$N$8,$O19*$O$8,$P19*$P$8,$Q19*$Q$8,$R19*$R$8,$S19*$S$8,$T19*$T$8,$U19*$U$8,$V19*$V$8,$W19*$W$8,$X19*$X$8,$Y19*$Y$8,$Z19*$Z$8,$AA19*$AA$8,$AB19*$AB$8)</f>
        <v>1630.5</v>
      </c>
      <c r="AH19" s="262"/>
      <c r="AI19" s="263"/>
    </row>
    <row r="20" spans="1:35" s="2" customFormat="1" ht="21.75" customHeight="1" thickBot="1" x14ac:dyDescent="0.25">
      <c r="A20" s="364"/>
      <c r="B20" s="367"/>
      <c r="C20" s="143">
        <v>12</v>
      </c>
      <c r="D20" s="144" t="s">
        <v>25</v>
      </c>
      <c r="E20" s="46">
        <v>10</v>
      </c>
      <c r="F20" s="51">
        <v>2.5</v>
      </c>
      <c r="G20" s="51">
        <v>2.5</v>
      </c>
      <c r="H20" s="55" t="s">
        <v>232</v>
      </c>
      <c r="I20" s="63"/>
      <c r="J20" s="56"/>
      <c r="K20" s="56"/>
      <c r="L20" s="177"/>
      <c r="M20" s="177"/>
      <c r="N20" s="177">
        <f>4.8+6</f>
        <v>10.8</v>
      </c>
      <c r="O20" s="177"/>
      <c r="P20" s="177"/>
      <c r="Q20" s="177">
        <v>1</v>
      </c>
      <c r="R20" s="177">
        <f>4+2</f>
        <v>6</v>
      </c>
      <c r="S20" s="177">
        <v>3</v>
      </c>
      <c r="T20" s="177"/>
      <c r="U20" s="177"/>
      <c r="V20" s="177"/>
      <c r="W20" s="177"/>
      <c r="X20" s="177"/>
      <c r="Y20" s="177"/>
      <c r="Z20" s="177">
        <v>3</v>
      </c>
      <c r="AA20" s="177"/>
      <c r="AB20" s="177"/>
      <c r="AC20" s="239"/>
      <c r="AD20" s="177"/>
      <c r="AE20" s="57"/>
      <c r="AF20" s="131"/>
      <c r="AG20" s="131"/>
      <c r="AH20" s="38">
        <f>SUM($N20*$N$8,$O20*$O$8,$P20*$P$8,$Q20*$Q$8,$R20*$R$8,$S20*$S$8,$T20*$T$8,$U20*$U$8,$V20*$V$8,$W20*$W$8,$X20*$X$8,$Y20*$Y$8,$Z20*$Z$8,$AA20*$AA$8,$AB20*$AB$8)</f>
        <v>722</v>
      </c>
      <c r="AI20" s="54"/>
    </row>
    <row r="21" spans="1:35" s="2" customFormat="1" ht="21.75" customHeight="1" x14ac:dyDescent="0.2">
      <c r="A21" s="364"/>
      <c r="B21" s="365" t="s">
        <v>51</v>
      </c>
      <c r="C21" s="58">
        <v>13</v>
      </c>
      <c r="D21" s="27" t="s">
        <v>26</v>
      </c>
      <c r="E21" s="141">
        <v>10</v>
      </c>
      <c r="F21" s="142">
        <v>2.5</v>
      </c>
      <c r="G21" s="142">
        <v>2.5</v>
      </c>
      <c r="H21" s="112" t="s">
        <v>157</v>
      </c>
      <c r="I21" s="48"/>
      <c r="J21" s="28"/>
      <c r="K21" s="28"/>
      <c r="L21" s="110"/>
      <c r="M21" s="110"/>
      <c r="N21" s="110"/>
      <c r="O21" s="110"/>
      <c r="P21" s="110"/>
      <c r="Q21" s="110"/>
      <c r="R21" s="110">
        <v>8</v>
      </c>
      <c r="S21" s="110"/>
      <c r="T21" s="110"/>
      <c r="U21" s="110"/>
      <c r="V21" s="110"/>
      <c r="W21" s="110"/>
      <c r="X21" s="110"/>
      <c r="Y21" s="110"/>
      <c r="Z21" s="110"/>
      <c r="AA21" s="110"/>
      <c r="AB21" s="48"/>
      <c r="AC21" s="48"/>
      <c r="AD21" s="110"/>
      <c r="AE21" s="49"/>
      <c r="AF21" s="36">
        <f>SUM($N21*$N$8,$O21*$O$8,$P21*$P$8,$Q21*$Q$8,$R21*$R$8,$S21*$S$8,$T21*$T$8,$U21*$U$8,$V21*$V$8,$W21*$W$8,$X21*$X$8,$Y21*$Y$8,$Z21*$Z$8,$AA21*$AA$8,$AB21*$AB$8)</f>
        <v>400</v>
      </c>
      <c r="AG21" s="182"/>
      <c r="AH21" s="110"/>
      <c r="AI21" s="34"/>
    </row>
    <row r="22" spans="1:35" s="2" customFormat="1" ht="21.75" customHeight="1" x14ac:dyDescent="0.2">
      <c r="A22" s="364"/>
      <c r="B22" s="366"/>
      <c r="C22" s="59">
        <v>14</v>
      </c>
      <c r="D22" s="29" t="s">
        <v>27</v>
      </c>
      <c r="E22" s="113">
        <v>10</v>
      </c>
      <c r="F22" s="115">
        <v>2.5</v>
      </c>
      <c r="G22" s="115">
        <v>2.5</v>
      </c>
      <c r="H22" s="113" t="s">
        <v>157</v>
      </c>
      <c r="I22" s="30"/>
      <c r="J22" s="31"/>
      <c r="K22" s="31"/>
      <c r="L22" s="130"/>
      <c r="M22" s="130"/>
      <c r="N22" s="130"/>
      <c r="O22" s="130"/>
      <c r="P22" s="130"/>
      <c r="Q22" s="130"/>
      <c r="R22" s="130">
        <v>12</v>
      </c>
      <c r="S22" s="130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44"/>
      <c r="AF22" s="130"/>
      <c r="AG22" s="37">
        <f>SUM($N22*$N$8,$O22*$O$8,$P22*$P$8,$Q22*$Q$8,$R22*$R$8,$S22*$S$8,$T22*$T$8,$U22*$U$8,$V22*$V$8,$W22*$W$8,$X22*$X$8,$Y22*$Y$8,$Z22*$Z$8,$AA22*$AA$8,$AB22*$AB$8)</f>
        <v>600</v>
      </c>
      <c r="AH22" s="177"/>
      <c r="AI22" s="32"/>
    </row>
    <row r="23" spans="1:35" s="2" customFormat="1" ht="21.75" customHeight="1" x14ac:dyDescent="0.2">
      <c r="A23" s="364"/>
      <c r="B23" s="366"/>
      <c r="C23" s="59">
        <v>15</v>
      </c>
      <c r="D23" s="29" t="s">
        <v>28</v>
      </c>
      <c r="E23" s="113">
        <v>10</v>
      </c>
      <c r="F23" s="115">
        <v>2.5</v>
      </c>
      <c r="G23" s="115">
        <v>2.5</v>
      </c>
      <c r="H23" s="113" t="s">
        <v>157</v>
      </c>
      <c r="I23" s="30"/>
      <c r="J23" s="31"/>
      <c r="K23" s="31"/>
      <c r="L23" s="130"/>
      <c r="M23" s="130"/>
      <c r="N23" s="130"/>
      <c r="O23" s="130"/>
      <c r="P23" s="130"/>
      <c r="Q23" s="130"/>
      <c r="R23" s="130">
        <v>14</v>
      </c>
      <c r="S23" s="130"/>
      <c r="T23" s="130"/>
      <c r="U23" s="130"/>
      <c r="V23" s="130"/>
      <c r="W23" s="130"/>
      <c r="X23" s="130"/>
      <c r="Y23" s="130"/>
      <c r="Z23" s="130"/>
      <c r="AA23" s="130"/>
      <c r="AB23" s="130"/>
      <c r="AC23" s="130"/>
      <c r="AD23" s="130"/>
      <c r="AE23" s="44"/>
      <c r="AF23" s="177"/>
      <c r="AG23" s="177"/>
      <c r="AH23" s="62">
        <f>SUM($N23*$N$8,$O23*$O$8,$P23*$P$8,$Q23*$Q$8,$R23*$R$8,$S23*$S$8,$T23*$T$8,$U23*$U$8,$V23*$V$8,$W23*$W$8,$X23*$X$8,$Y23*$Y$8,$Z23*$Z$8,$AA23*$AA$8,$AB23*$AB$8)</f>
        <v>700</v>
      </c>
      <c r="AI23" s="32"/>
    </row>
    <row r="24" spans="1:35" s="2" customFormat="1" ht="21.75" customHeight="1" x14ac:dyDescent="0.2">
      <c r="A24" s="364"/>
      <c r="B24" s="366"/>
      <c r="C24" s="59">
        <v>16</v>
      </c>
      <c r="D24" s="29" t="s">
        <v>29</v>
      </c>
      <c r="E24" s="113">
        <v>10</v>
      </c>
      <c r="F24" s="115">
        <v>2.5</v>
      </c>
      <c r="G24" s="115">
        <v>2.5</v>
      </c>
      <c r="H24" s="113" t="s">
        <v>159</v>
      </c>
      <c r="I24" s="40"/>
      <c r="J24" s="31"/>
      <c r="K24" s="31"/>
      <c r="L24" s="130"/>
      <c r="M24" s="130"/>
      <c r="N24" s="42">
        <v>10.1</v>
      </c>
      <c r="O24" s="42"/>
      <c r="P24" s="42"/>
      <c r="Q24" s="42"/>
      <c r="R24" s="42"/>
      <c r="S24" s="42">
        <v>7</v>
      </c>
      <c r="T24" s="42"/>
      <c r="U24" s="42"/>
      <c r="V24" s="42"/>
      <c r="W24" s="42"/>
      <c r="X24" s="42"/>
      <c r="Y24" s="42"/>
      <c r="Z24" s="42"/>
      <c r="AA24" s="42"/>
      <c r="AB24" s="42">
        <v>4</v>
      </c>
      <c r="AC24" s="42"/>
      <c r="AD24" s="130"/>
      <c r="AE24" s="44"/>
      <c r="AF24" s="37">
        <f>SUM($N24*$N$8,$O24*$O$8,$P24*$P$8,$Q24*$Q$8,$R24*$R$8,$S24*$S$8,$T24*$T$8,$U24*$U$8,$V24*$V$8,$W24*$W$8,$X24*$X$8,$Y24*$Y$8,$Z24*$Z$8,$AA24*$AA$8,$AB24*$AB$8)</f>
        <v>701.5</v>
      </c>
      <c r="AG24" s="130"/>
      <c r="AH24" s="130"/>
      <c r="AI24" s="32"/>
    </row>
    <row r="25" spans="1:35" s="2" customFormat="1" ht="21.75" customHeight="1" x14ac:dyDescent="0.2">
      <c r="A25" s="364"/>
      <c r="B25" s="366"/>
      <c r="C25" s="59">
        <v>17</v>
      </c>
      <c r="D25" s="29" t="s">
        <v>30</v>
      </c>
      <c r="E25" s="113">
        <v>10</v>
      </c>
      <c r="F25" s="115">
        <v>2.5</v>
      </c>
      <c r="G25" s="115">
        <v>2.5</v>
      </c>
      <c r="H25" s="113" t="s">
        <v>158</v>
      </c>
      <c r="I25" s="30"/>
      <c r="J25" s="31"/>
      <c r="K25" s="31"/>
      <c r="L25" s="130"/>
      <c r="M25" s="130"/>
      <c r="N25" s="130">
        <f>1.1+9</f>
        <v>10.1</v>
      </c>
      <c r="O25" s="130"/>
      <c r="P25" s="130"/>
      <c r="Q25" s="130"/>
      <c r="R25" s="130">
        <v>5</v>
      </c>
      <c r="S25" s="130"/>
      <c r="T25" s="130"/>
      <c r="U25" s="130"/>
      <c r="V25" s="130"/>
      <c r="W25" s="130"/>
      <c r="X25" s="130"/>
      <c r="Y25" s="130"/>
      <c r="Z25" s="130"/>
      <c r="AA25" s="130"/>
      <c r="AB25" s="130"/>
      <c r="AC25" s="130"/>
      <c r="AD25" s="130"/>
      <c r="AE25" s="44"/>
      <c r="AF25" s="130"/>
      <c r="AG25" s="37">
        <f>SUM($N25*$N$8,$O25*$O$8,$P25*$P$8,$Q25*$Q$8,$R25*$R$8,$S25*$S$8,$T25*$T$8,$U25*$U$8,$V25*$V$8,$W25*$W$8,$X25*$X$8,$Y25*$Y$8,$Z25*$Z$8,$AA25*$AA$8,$AB25*$AB$8)</f>
        <v>401.5</v>
      </c>
      <c r="AH25" s="177"/>
      <c r="AI25" s="32"/>
    </row>
    <row r="26" spans="1:35" s="139" customFormat="1" ht="21.75" customHeight="1" thickBot="1" x14ac:dyDescent="0.25">
      <c r="A26" s="364"/>
      <c r="B26" s="367"/>
      <c r="C26" s="266">
        <v>18</v>
      </c>
      <c r="D26" s="267" t="s">
        <v>31</v>
      </c>
      <c r="E26" s="268">
        <v>10</v>
      </c>
      <c r="F26" s="269">
        <v>2.5</v>
      </c>
      <c r="G26" s="269">
        <v>2.5</v>
      </c>
      <c r="H26" s="270" t="s">
        <v>160</v>
      </c>
      <c r="I26" s="271"/>
      <c r="J26" s="272"/>
      <c r="K26" s="272"/>
      <c r="L26" s="262"/>
      <c r="M26" s="262"/>
      <c r="N26" s="262">
        <f>9+2.5+9+1.2+1.2+1.2</f>
        <v>24.099999999999998</v>
      </c>
      <c r="O26" s="262"/>
      <c r="P26" s="262"/>
      <c r="Q26" s="262"/>
      <c r="R26" s="262">
        <f>4+5</f>
        <v>9</v>
      </c>
      <c r="S26" s="262">
        <f>1+2+2</f>
        <v>5</v>
      </c>
      <c r="T26" s="262"/>
      <c r="U26" s="262"/>
      <c r="V26" s="262"/>
      <c r="W26" s="262"/>
      <c r="X26" s="262"/>
      <c r="Y26" s="262"/>
      <c r="Z26" s="262"/>
      <c r="AA26" s="262"/>
      <c r="AB26" s="262"/>
      <c r="AC26" s="262"/>
      <c r="AD26" s="262"/>
      <c r="AE26" s="273"/>
      <c r="AF26" s="274"/>
      <c r="AG26" s="274"/>
      <c r="AH26" s="275">
        <f>SUM($N26*$N$8,$O26*$O$8,$P26*$P$8,$Q26*$Q$8,$R26*$R$8,$S26*$S$8,$T26*$T$8,$U26*$U$8,$V26*$V$8,$W26*$W$8,$X26*$X$8,$Y26*$Y$8,$Z26*$Z$8,$AA26*$AA$8,$AB26*$AB$8)</f>
        <v>1061.5</v>
      </c>
      <c r="AI26" s="276"/>
    </row>
    <row r="27" spans="1:35" s="2" customFormat="1" ht="21.75" customHeight="1" x14ac:dyDescent="0.2">
      <c r="A27" s="364"/>
      <c r="B27" s="365" t="s">
        <v>51</v>
      </c>
      <c r="C27" s="58">
        <v>19</v>
      </c>
      <c r="D27" s="27" t="s">
        <v>36</v>
      </c>
      <c r="E27" s="141">
        <v>10</v>
      </c>
      <c r="F27" s="142">
        <v>2.5</v>
      </c>
      <c r="G27" s="142">
        <v>2.5</v>
      </c>
      <c r="H27" s="112" t="s">
        <v>161</v>
      </c>
      <c r="I27" s="48"/>
      <c r="J27" s="28"/>
      <c r="K27" s="28"/>
      <c r="L27" s="110"/>
      <c r="M27" s="110"/>
      <c r="N27" s="110">
        <f>9+1.5</f>
        <v>10.5</v>
      </c>
      <c r="O27" s="110"/>
      <c r="P27" s="110"/>
      <c r="Q27" s="110"/>
      <c r="R27" s="110">
        <v>4</v>
      </c>
      <c r="S27" s="110">
        <v>1</v>
      </c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49"/>
      <c r="AF27" s="36">
        <f>SUM($N27*$N$8,$O27*$O$8,$P27*$P$8,$Q27*$Q$8,$R27*$R$8,$S27*$S$8,$T27*$T$8,$U27*$U$8,$V27*$V$8,$W27*$W$8,$X27*$X$8,$Y27*$Y$8,$Z27*$Z$8,$AA27*$AA$8,$AB27*$AB$8)</f>
        <v>407.5</v>
      </c>
      <c r="AG27" s="182"/>
      <c r="AH27" s="110"/>
      <c r="AI27" s="34"/>
    </row>
    <row r="28" spans="1:35" s="2" customFormat="1" ht="21.75" customHeight="1" x14ac:dyDescent="0.2">
      <c r="A28" s="364"/>
      <c r="B28" s="366"/>
      <c r="C28" s="59">
        <v>20</v>
      </c>
      <c r="D28" s="29" t="s">
        <v>37</v>
      </c>
      <c r="E28" s="113">
        <v>10</v>
      </c>
      <c r="F28" s="115">
        <v>2.5</v>
      </c>
      <c r="G28" s="115">
        <v>2.5</v>
      </c>
      <c r="H28" s="113" t="s">
        <v>162</v>
      </c>
      <c r="I28" s="30"/>
      <c r="J28" s="31"/>
      <c r="K28" s="31"/>
      <c r="L28" s="130"/>
      <c r="M28" s="130"/>
      <c r="N28" s="130">
        <v>11.2</v>
      </c>
      <c r="O28" s="130"/>
      <c r="P28" s="130"/>
      <c r="Q28" s="130"/>
      <c r="R28" s="130">
        <v>4</v>
      </c>
      <c r="S28" s="130"/>
      <c r="T28" s="130"/>
      <c r="U28" s="130"/>
      <c r="V28" s="130"/>
      <c r="W28" s="130"/>
      <c r="X28" s="130"/>
      <c r="Y28" s="130"/>
      <c r="Z28" s="130"/>
      <c r="AA28" s="130"/>
      <c r="AB28" s="130"/>
      <c r="AC28" s="130"/>
      <c r="AD28" s="130"/>
      <c r="AE28" s="44"/>
      <c r="AF28" s="130"/>
      <c r="AG28" s="37">
        <f>SUM($N28*$N$8,$O28*$O$8,$P28*$P$8,$Q28*$Q$8,$R28*$R$8,$S28*$S$8,$T28*$T$8,$U28*$U$8,$V28*$V$8,$W28*$W$8,$X28*$X$8,$Y28*$Y$8,$Z28*$Z$8,$AA28*$AA$8,$AB28*$AB$8)</f>
        <v>368</v>
      </c>
      <c r="AH28" s="177"/>
      <c r="AI28" s="32"/>
    </row>
    <row r="29" spans="1:35" s="2" customFormat="1" ht="21.75" customHeight="1" x14ac:dyDescent="0.2">
      <c r="A29" s="364"/>
      <c r="B29" s="366"/>
      <c r="C29" s="59">
        <v>21</v>
      </c>
      <c r="D29" s="29" t="s">
        <v>38</v>
      </c>
      <c r="E29" s="113">
        <v>10</v>
      </c>
      <c r="F29" s="115">
        <v>2.5</v>
      </c>
      <c r="G29" s="115">
        <v>2.5</v>
      </c>
      <c r="H29" s="113" t="s">
        <v>87</v>
      </c>
      <c r="I29" s="30"/>
      <c r="J29" s="31"/>
      <c r="K29" s="31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30"/>
      <c r="W29" s="130">
        <v>2</v>
      </c>
      <c r="X29" s="130"/>
      <c r="Y29" s="130"/>
      <c r="Z29" s="130"/>
      <c r="AA29" s="130"/>
      <c r="AB29" s="130"/>
      <c r="AC29" s="130"/>
      <c r="AD29" s="130"/>
      <c r="AE29" s="44"/>
      <c r="AF29" s="177"/>
      <c r="AG29" s="177"/>
      <c r="AH29" s="62">
        <f>SUM($N29*$N$8,$O29*$O$8,$P29*$P$8,$Q29*$Q$8,$R29*$R$8,$S29*$S$8,$T29*$T$8,$U29*$U$8,$V29*$V$8,$W29*$W$8,$X29*$X$8,$Y29*$Y$8,$Z29*$Z$8,$AA29*$AA$8,$AB29*$AB$8)</f>
        <v>200</v>
      </c>
      <c r="AI29" s="32"/>
    </row>
    <row r="30" spans="1:35" s="2" customFormat="1" ht="21.75" customHeight="1" x14ac:dyDescent="0.2">
      <c r="A30" s="364"/>
      <c r="B30" s="366"/>
      <c r="C30" s="59">
        <v>22</v>
      </c>
      <c r="D30" s="29" t="s">
        <v>39</v>
      </c>
      <c r="E30" s="113">
        <v>10</v>
      </c>
      <c r="F30" s="115">
        <v>2.5</v>
      </c>
      <c r="G30" s="115">
        <v>2.5</v>
      </c>
      <c r="H30" s="113" t="s">
        <v>86</v>
      </c>
      <c r="I30" s="130"/>
      <c r="J30" s="31"/>
      <c r="K30" s="31"/>
      <c r="L30" s="130"/>
      <c r="M30" s="130"/>
      <c r="N30" s="130"/>
      <c r="O30" s="130"/>
      <c r="P30" s="130"/>
      <c r="Q30" s="130"/>
      <c r="R30" s="130"/>
      <c r="S30" s="130"/>
      <c r="T30" s="130"/>
      <c r="U30" s="130"/>
      <c r="V30" s="130"/>
      <c r="W30" s="130">
        <v>2</v>
      </c>
      <c r="X30" s="130"/>
      <c r="Y30" s="130"/>
      <c r="Z30" s="130"/>
      <c r="AA30" s="130"/>
      <c r="AB30" s="130"/>
      <c r="AC30" s="130"/>
      <c r="AD30" s="130"/>
      <c r="AE30" s="111"/>
      <c r="AF30" s="37">
        <f>SUM($N30*$N$8,$O30*$O$8,$P30*$P$8,$Q30*$Q$8,$R30*$R$8,$S30*$S$8,$T30*$T$8,$U30*$U$8,$V30*$V$8,$W30*$W$8,$X30*$X$8,$Y30*$Y$8,$Z30*$Z$8,$AA30*$AA$8,$AB30*$AB$8)</f>
        <v>200</v>
      </c>
      <c r="AG30" s="130"/>
      <c r="AH30" s="130"/>
      <c r="AI30" s="32"/>
    </row>
    <row r="31" spans="1:35" s="139" customFormat="1" ht="21.75" customHeight="1" x14ac:dyDescent="0.2">
      <c r="A31" s="364"/>
      <c r="B31" s="366"/>
      <c r="C31" s="257">
        <v>23</v>
      </c>
      <c r="D31" s="258" t="s">
        <v>40</v>
      </c>
      <c r="E31" s="259">
        <v>10</v>
      </c>
      <c r="F31" s="243">
        <v>2.5</v>
      </c>
      <c r="G31" s="243">
        <v>2.5</v>
      </c>
      <c r="H31" s="259" t="s">
        <v>235</v>
      </c>
      <c r="I31" s="259"/>
      <c r="J31" s="260"/>
      <c r="K31" s="260"/>
      <c r="L31" s="246"/>
      <c r="M31" s="246"/>
      <c r="N31" s="246">
        <f>16.8+9+1.8+1.2+1.2</f>
        <v>30</v>
      </c>
      <c r="O31" s="246">
        <v>1.2</v>
      </c>
      <c r="P31" s="246"/>
      <c r="Q31" s="246"/>
      <c r="R31" s="246">
        <f>6+4</f>
        <v>10</v>
      </c>
      <c r="S31" s="246">
        <f>1+1+2+2</f>
        <v>6</v>
      </c>
      <c r="T31" s="246"/>
      <c r="U31" s="246"/>
      <c r="V31" s="246"/>
      <c r="W31" s="246"/>
      <c r="X31" s="246"/>
      <c r="Y31" s="246"/>
      <c r="Z31" s="246"/>
      <c r="AA31" s="246"/>
      <c r="AB31" s="246"/>
      <c r="AC31" s="246"/>
      <c r="AD31" s="246"/>
      <c r="AE31" s="264"/>
      <c r="AF31" s="246"/>
      <c r="AG31" s="261">
        <f>SUM($N31*$N$8,$O31*$O$8,$P31*$P$8,$Q31*$Q$8,$R31*$R$8,$S31*$S$8,$T31*$T$8,$U31*$U$8,$V31*$V$8,$W31*$W$8,$X31*$X$8,$Y31*$Y$8,$Z31*$Z$8,$AA31*$AA$8,$AB31*$AB$8)</f>
        <v>1268</v>
      </c>
      <c r="AH31" s="262"/>
      <c r="AI31" s="263"/>
    </row>
    <row r="32" spans="1:35" s="2" customFormat="1" ht="21.75" customHeight="1" thickBot="1" x14ac:dyDescent="0.25">
      <c r="A32" s="364"/>
      <c r="B32" s="367"/>
      <c r="C32" s="143">
        <v>24</v>
      </c>
      <c r="D32" s="144" t="s">
        <v>41</v>
      </c>
      <c r="E32" s="46">
        <v>10</v>
      </c>
      <c r="F32" s="51">
        <v>2.5</v>
      </c>
      <c r="G32" s="51">
        <v>2.5</v>
      </c>
      <c r="H32" s="55" t="s">
        <v>163</v>
      </c>
      <c r="I32" s="55"/>
      <c r="J32" s="56"/>
      <c r="K32" s="56"/>
      <c r="L32" s="177"/>
      <c r="M32" s="177"/>
      <c r="N32" s="177">
        <f>9.1+0.8+1.9+2.2+9.6+1.8</f>
        <v>25.400000000000002</v>
      </c>
      <c r="O32" s="177"/>
      <c r="P32" s="177"/>
      <c r="Q32" s="177"/>
      <c r="R32" s="177">
        <f>4+6</f>
        <v>10</v>
      </c>
      <c r="S32" s="177">
        <f>1+1</f>
        <v>2</v>
      </c>
      <c r="T32" s="177"/>
      <c r="U32" s="177"/>
      <c r="V32" s="177"/>
      <c r="W32" s="177"/>
      <c r="X32" s="177"/>
      <c r="Y32" s="177"/>
      <c r="Z32" s="177"/>
      <c r="AA32" s="177"/>
      <c r="AB32" s="177"/>
      <c r="AC32" s="239"/>
      <c r="AD32" s="177"/>
      <c r="AE32" s="65"/>
      <c r="AF32" s="131"/>
      <c r="AG32" s="131"/>
      <c r="AH32" s="38">
        <f>SUM($N32*$N$8,$O32*$O$8,$P32*$P$8,$Q32*$Q$8,$R32*$R$8,$S32*$S$8,$T32*$T$8,$U32*$U$8,$V32*$V$8,$W32*$W$8,$X32*$X$8,$Y32*$Y$8,$Z32*$Z$8,$AA32*$AA$8,$AB32*$AB$8)</f>
        <v>981</v>
      </c>
      <c r="AI32" s="54"/>
    </row>
    <row r="33" spans="1:36" s="2" customFormat="1" ht="21.75" customHeight="1" x14ac:dyDescent="0.2">
      <c r="A33" s="364"/>
      <c r="B33" s="365" t="s">
        <v>51</v>
      </c>
      <c r="C33" s="58">
        <v>25</v>
      </c>
      <c r="D33" s="27" t="s">
        <v>65</v>
      </c>
      <c r="E33" s="141">
        <v>10</v>
      </c>
      <c r="F33" s="142">
        <v>2.5</v>
      </c>
      <c r="G33" s="142">
        <v>2.5</v>
      </c>
      <c r="H33" s="185" t="s">
        <v>164</v>
      </c>
      <c r="I33" s="145"/>
      <c r="J33" s="28"/>
      <c r="K33" s="28"/>
      <c r="L33" s="110"/>
      <c r="M33" s="110"/>
      <c r="N33" s="110">
        <f>1.6+9.7+1</f>
        <v>12.299999999999999</v>
      </c>
      <c r="O33" s="110"/>
      <c r="P33" s="110"/>
      <c r="Q33" s="110"/>
      <c r="R33" s="110">
        <v>6</v>
      </c>
      <c r="S33" s="110">
        <v>1</v>
      </c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46"/>
      <c r="AF33" s="36">
        <f>SUM($N33*$N$8,$O33*$O$8,$P33*$P$8,$Q33*$Q$8,$R33*$R$8,$S33*$S$8,$T33*$T$8,$U33*$U$8,$V33*$V$8,$W33*$W$8,$X33*$X$8,$Y33*$Y$8,$Z33*$Z$8,$AA33*$AA$8,$AB33*$AB$8)</f>
        <v>534.5</v>
      </c>
      <c r="AG33" s="182"/>
      <c r="AH33" s="110"/>
      <c r="AI33" s="34"/>
    </row>
    <row r="34" spans="1:36" s="2" customFormat="1" ht="21.75" customHeight="1" x14ac:dyDescent="0.2">
      <c r="A34" s="364"/>
      <c r="B34" s="366"/>
      <c r="C34" s="59">
        <v>26</v>
      </c>
      <c r="D34" s="29" t="s">
        <v>66</v>
      </c>
      <c r="E34" s="113">
        <v>10</v>
      </c>
      <c r="F34" s="115">
        <v>2.5</v>
      </c>
      <c r="G34" s="115">
        <v>2.5</v>
      </c>
      <c r="H34" s="55" t="s">
        <v>165</v>
      </c>
      <c r="I34" s="30"/>
      <c r="J34" s="31"/>
      <c r="K34" s="31"/>
      <c r="L34" s="130"/>
      <c r="M34" s="130"/>
      <c r="N34" s="130">
        <f>9.9+1.3</f>
        <v>11.200000000000001</v>
      </c>
      <c r="O34" s="130"/>
      <c r="P34" s="130"/>
      <c r="Q34" s="130"/>
      <c r="R34" s="130">
        <v>4</v>
      </c>
      <c r="S34" s="130"/>
      <c r="T34" s="130"/>
      <c r="U34" s="130"/>
      <c r="V34" s="130"/>
      <c r="W34" s="130"/>
      <c r="X34" s="130"/>
      <c r="Y34" s="130"/>
      <c r="Z34" s="130"/>
      <c r="AA34" s="130"/>
      <c r="AB34" s="130"/>
      <c r="AC34" s="130"/>
      <c r="AD34" s="130"/>
      <c r="AE34" s="147"/>
      <c r="AF34" s="130"/>
      <c r="AG34" s="37">
        <f>SUM($N34*$N$8,$O34*$O$8,$P34*$P$8,$Q34*$Q$8,$R34*$R$8,$S34*$S$8,$T34*$T$8,$U34*$U$8,$V34*$V$8,$W34*$W$8,$X34*$X$8,$Y34*$Y$8,$Z34*$Z$8,$AA34*$AA$8,$AB34*$AB$8)</f>
        <v>368</v>
      </c>
      <c r="AH34" s="177"/>
      <c r="AI34" s="32"/>
    </row>
    <row r="35" spans="1:36" s="2" customFormat="1" ht="21.75" customHeight="1" x14ac:dyDescent="0.2">
      <c r="A35" s="364"/>
      <c r="B35" s="366"/>
      <c r="C35" s="59">
        <v>27</v>
      </c>
      <c r="D35" s="29" t="s">
        <v>67</v>
      </c>
      <c r="E35" s="113">
        <v>10</v>
      </c>
      <c r="F35" s="115">
        <v>2.5</v>
      </c>
      <c r="G35" s="115">
        <v>2.5</v>
      </c>
      <c r="H35" s="113" t="s">
        <v>166</v>
      </c>
      <c r="I35" s="30"/>
      <c r="J35" s="31"/>
      <c r="K35" s="31"/>
      <c r="L35" s="130"/>
      <c r="M35" s="130"/>
      <c r="N35" s="130"/>
      <c r="O35" s="130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>
        <v>4</v>
      </c>
      <c r="AA35" s="130"/>
      <c r="AB35" s="130"/>
      <c r="AC35" s="130"/>
      <c r="AD35" s="130"/>
      <c r="AE35" s="148"/>
      <c r="AF35" s="177"/>
      <c r="AG35" s="177"/>
      <c r="AH35" s="62">
        <f>SUM($N35*$N$8,$O35*$O$8,$P35*$P$8,$Q35*$Q$8,$R35*$R$8,$S35*$S$8,$T35*$T$8,$U35*$U$8,$V35*$V$8,$W35*$W$8,$X35*$X$8,$Y35*$Y$8,$Z35*$Z$8,$AA35*$AA$8,$AB35*$AB$8)</f>
        <v>80</v>
      </c>
      <c r="AI35" s="32"/>
    </row>
    <row r="36" spans="1:36" s="2" customFormat="1" ht="21.75" customHeight="1" x14ac:dyDescent="0.2">
      <c r="A36" s="364"/>
      <c r="B36" s="366"/>
      <c r="C36" s="59">
        <v>28</v>
      </c>
      <c r="D36" s="29" t="s">
        <v>68</v>
      </c>
      <c r="E36" s="113">
        <v>10</v>
      </c>
      <c r="F36" s="115">
        <v>2.5</v>
      </c>
      <c r="G36" s="115">
        <v>2.5</v>
      </c>
      <c r="H36" s="113" t="s">
        <v>53</v>
      </c>
      <c r="I36" s="42"/>
      <c r="J36" s="31"/>
      <c r="K36" s="31"/>
      <c r="L36" s="130"/>
      <c r="M36" s="130"/>
      <c r="N36" s="130"/>
      <c r="O36" s="130"/>
      <c r="P36" s="130"/>
      <c r="Q36" s="130"/>
      <c r="R36" s="130"/>
      <c r="S36" s="130"/>
      <c r="T36" s="130"/>
      <c r="U36" s="130"/>
      <c r="V36" s="130"/>
      <c r="W36" s="130"/>
      <c r="X36" s="130"/>
      <c r="Y36" s="130"/>
      <c r="Z36" s="130"/>
      <c r="AA36" s="130">
        <v>13</v>
      </c>
      <c r="AB36" s="130"/>
      <c r="AC36" s="130"/>
      <c r="AD36" s="130"/>
      <c r="AE36" s="148"/>
      <c r="AF36" s="37">
        <f>SUM($N36*$N$8,$O36*$O$8,$P36*$P$8,$Q36*$Q$8,$R36*$R$8,$S36*$S$8,$T36*$T$8,$U36*$U$8,$V36*$V$8,$W36*$W$8,$X36*$X$8,$Y36*$Y$8,$Z36*$Z$8,$AA36*$AA$8,$AB36*$AB$8)</f>
        <v>2600</v>
      </c>
      <c r="AG36" s="130"/>
      <c r="AH36" s="130"/>
      <c r="AI36" s="32"/>
    </row>
    <row r="37" spans="1:36" s="2" customFormat="1" ht="21.75" customHeight="1" x14ac:dyDescent="0.2">
      <c r="A37" s="364"/>
      <c r="B37" s="366"/>
      <c r="C37" s="59">
        <v>29</v>
      </c>
      <c r="D37" s="29" t="s">
        <v>69</v>
      </c>
      <c r="E37" s="113">
        <v>10</v>
      </c>
      <c r="F37" s="115">
        <v>2.5</v>
      </c>
      <c r="G37" s="115">
        <v>2.5</v>
      </c>
      <c r="H37" s="113" t="s">
        <v>167</v>
      </c>
      <c r="I37" s="30"/>
      <c r="J37" s="31"/>
      <c r="K37" s="31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  <c r="AA37" s="130">
        <v>5</v>
      </c>
      <c r="AB37" s="130"/>
      <c r="AC37" s="130"/>
      <c r="AD37" s="130"/>
      <c r="AE37" s="148"/>
      <c r="AF37" s="130"/>
      <c r="AG37" s="37">
        <f>SUM($N37*$N$8,$O37*$O$8,$P37*$P$8,$Q37*$Q$8,$R37*$R$8,$S37*$S$8,$T37*$T$8,$U37*$U$8,$V37*$V$8,$W37*$W$8,$X37*$X$8,$Y37*$Y$8,$Z37*$Z$8,$AA37*$AA$8,$AB37*$AB$8)</f>
        <v>1000</v>
      </c>
      <c r="AH37" s="177"/>
      <c r="AI37" s="32"/>
    </row>
    <row r="38" spans="1:36" s="2" customFormat="1" ht="21.75" customHeight="1" thickBot="1" x14ac:dyDescent="0.25">
      <c r="A38" s="364"/>
      <c r="B38" s="367"/>
      <c r="C38" s="143">
        <v>30</v>
      </c>
      <c r="D38" s="144" t="s">
        <v>70</v>
      </c>
      <c r="E38" s="46">
        <v>10</v>
      </c>
      <c r="F38" s="51">
        <v>2.5</v>
      </c>
      <c r="G38" s="51">
        <v>2.5</v>
      </c>
      <c r="H38" s="46" t="s">
        <v>168</v>
      </c>
      <c r="I38" s="149"/>
      <c r="J38" s="33"/>
      <c r="K38" s="33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77">
        <v>2</v>
      </c>
      <c r="AB38" s="177"/>
      <c r="AC38" s="239"/>
      <c r="AD38" s="177"/>
      <c r="AE38" s="147">
        <v>40</v>
      </c>
      <c r="AF38" s="131"/>
      <c r="AG38" s="131"/>
      <c r="AH38" s="38">
        <f>AE38*AA38</f>
        <v>80</v>
      </c>
      <c r="AI38" s="54"/>
    </row>
    <row r="39" spans="1:36" s="2" customFormat="1" ht="21.75" customHeight="1" x14ac:dyDescent="0.2">
      <c r="A39" s="5"/>
      <c r="B39" s="6"/>
      <c r="C39" s="6"/>
      <c r="D39" s="6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24"/>
      <c r="AA39" s="375" t="s">
        <v>45</v>
      </c>
      <c r="AB39" s="376"/>
      <c r="AC39" s="376"/>
      <c r="AD39" s="376"/>
      <c r="AE39" s="377"/>
      <c r="AF39" s="155">
        <f>SUM(AF9:AF38)</f>
        <v>8262</v>
      </c>
      <c r="AG39" s="155">
        <f>SUM(AG9:AG38)</f>
        <v>9125.5</v>
      </c>
      <c r="AH39" s="155">
        <f>SUM(AH9:AH38)</f>
        <v>8155</v>
      </c>
      <c r="AI39" s="156">
        <f>SUM(AF39:AH39)</f>
        <v>25542.5</v>
      </c>
      <c r="AJ39" s="157"/>
    </row>
    <row r="40" spans="1:36" s="2" customFormat="1" ht="21.75" customHeight="1" x14ac:dyDescent="0.2">
      <c r="A40" s="4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24"/>
      <c r="AA40" s="378" t="s">
        <v>171</v>
      </c>
      <c r="AB40" s="379"/>
      <c r="AC40" s="379"/>
      <c r="AD40" s="379"/>
      <c r="AE40" s="380"/>
      <c r="AF40" s="158">
        <f>AF39/0.8</f>
        <v>10327.5</v>
      </c>
      <c r="AG40" s="158">
        <f>AG39/0.8</f>
        <v>11406.875</v>
      </c>
      <c r="AH40" s="158">
        <f>AH39/0.8</f>
        <v>10193.75</v>
      </c>
      <c r="AI40" s="159">
        <f>SUM(AF40:AH40)</f>
        <v>31928.125</v>
      </c>
      <c r="AJ40" s="157"/>
    </row>
    <row r="41" spans="1:36" s="2" customFormat="1" ht="20.100000000000001" customHeight="1" x14ac:dyDescent="0.2">
      <c r="A41" s="4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24"/>
      <c r="AA41" s="378" t="s">
        <v>170</v>
      </c>
      <c r="AB41" s="379"/>
      <c r="AC41" s="379"/>
      <c r="AD41" s="379"/>
      <c r="AE41" s="380"/>
      <c r="AF41" s="355">
        <v>0.9</v>
      </c>
      <c r="AG41" s="356"/>
      <c r="AH41" s="357"/>
      <c r="AI41" s="160"/>
    </row>
    <row r="42" spans="1:36" s="2" customFormat="1" ht="20.100000000000001" customHeight="1" thickBot="1" x14ac:dyDescent="0.25">
      <c r="A42" s="15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7"/>
      <c r="AA42" s="358" t="s">
        <v>172</v>
      </c>
      <c r="AB42" s="359"/>
      <c r="AC42" s="359"/>
      <c r="AD42" s="359"/>
      <c r="AE42" s="360"/>
      <c r="AF42" s="361">
        <f>(AF41*AI40)/1000</f>
        <v>28.735312499999999</v>
      </c>
      <c r="AG42" s="362"/>
      <c r="AH42" s="161" t="s">
        <v>43</v>
      </c>
      <c r="AI42" s="162"/>
    </row>
    <row r="43" spans="1:36" s="2" customFormat="1" ht="20.100000000000001" customHeight="1" x14ac:dyDescent="0.2">
      <c r="A43" s="4" t="s">
        <v>78</v>
      </c>
      <c r="B43" s="18" t="s">
        <v>301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0"/>
      <c r="AE43" s="180"/>
      <c r="AF43" s="19"/>
      <c r="AG43" s="19"/>
      <c r="AH43" s="19"/>
      <c r="AI43" s="127"/>
    </row>
    <row r="44" spans="1:36" s="2" customFormat="1" ht="33.75" customHeight="1" x14ac:dyDescent="0.2">
      <c r="A44" s="25" t="s">
        <v>77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18"/>
      <c r="AE44" s="18"/>
      <c r="AF44" s="19"/>
      <c r="AG44" s="19"/>
      <c r="AH44" s="19"/>
      <c r="AI44" s="127"/>
    </row>
    <row r="45" spans="1:36" s="2" customFormat="1" ht="20.100000000000001" customHeight="1" thickBot="1" x14ac:dyDescent="0.25">
      <c r="A45" s="21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16"/>
      <c r="AE45" s="16"/>
      <c r="AF45" s="23"/>
      <c r="AG45" s="23"/>
      <c r="AH45" s="23"/>
      <c r="AI45" s="128"/>
    </row>
  </sheetData>
  <mergeCells count="37">
    <mergeCell ref="AA40:AE40"/>
    <mergeCell ref="AF42:AG42"/>
    <mergeCell ref="AA41:AE41"/>
    <mergeCell ref="AF41:AH41"/>
    <mergeCell ref="AA42:AE42"/>
    <mergeCell ref="B27:B32"/>
    <mergeCell ref="B33:B38"/>
    <mergeCell ref="AA39:AE39"/>
    <mergeCell ref="A9:A38"/>
    <mergeCell ref="B9:B14"/>
    <mergeCell ref="B15:B20"/>
    <mergeCell ref="B21:B26"/>
    <mergeCell ref="G5:G8"/>
    <mergeCell ref="A5:A8"/>
    <mergeCell ref="B5:B8"/>
    <mergeCell ref="C5:C8"/>
    <mergeCell ref="D5:D8"/>
    <mergeCell ref="E5:E8"/>
    <mergeCell ref="F5:F8"/>
    <mergeCell ref="H5:H8"/>
    <mergeCell ref="I5:AD5"/>
    <mergeCell ref="AE5:AE8"/>
    <mergeCell ref="AF5:AH5"/>
    <mergeCell ref="AI5:AI8"/>
    <mergeCell ref="AD6:AD8"/>
    <mergeCell ref="U6:Y6"/>
    <mergeCell ref="AF7:AF8"/>
    <mergeCell ref="AG7:AG8"/>
    <mergeCell ref="AH7:AH8"/>
    <mergeCell ref="AC6:AC7"/>
    <mergeCell ref="AE4:AF4"/>
    <mergeCell ref="AG4:AI4"/>
    <mergeCell ref="H1:AD1"/>
    <mergeCell ref="H2:AD2"/>
    <mergeCell ref="AF2:AG2"/>
    <mergeCell ref="AH2:AI2"/>
    <mergeCell ref="AH3:AI3"/>
  </mergeCells>
  <dataValidations disablePrompts="1" count="2">
    <dataValidation type="whole" allowBlank="1" showInputMessage="1" showErrorMessage="1" error="MINIMUM VALUE= 1_x000a_MAXIMU VALUE = 12_x000a_" sqref="I16:I17 I19 I25 I22:I23 I28:I29 I31:I32 I34:I35 J9:K38 I37:I38">
      <formula1>1</formula1>
      <formula2>12</formula2>
    </dataValidation>
    <dataValidation type="whole" allowBlank="1" showInputMessage="1" showErrorMessage="1" error="MINIMUM VALUE= 1_x000a_MAXIMU VALUE = 12_x000a_" sqref="I9">
      <formula1>1</formula1>
      <formula2>20</formula2>
    </dataValidation>
  </dataValidations>
  <printOptions horizontalCentered="1"/>
  <pageMargins left="0.53" right="0.14000000000000001" top="0.52" bottom="0.21" header="0.17" footer="0.17"/>
  <pageSetup paperSize="9" scale="42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39"/>
  <sheetViews>
    <sheetView tabSelected="1" view="pageBreakPreview" zoomScale="70" zoomScaleNormal="100" zoomScaleSheetLayoutView="70" workbookViewId="0">
      <pane xSplit="4" ySplit="8" topLeftCell="E9" activePane="bottomRight" state="frozen"/>
      <selection pane="topRight" activeCell="E1" sqref="E1"/>
      <selection pane="bottomLeft" activeCell="A9" sqref="A9"/>
      <selection pane="bottomRight" activeCell="O24" sqref="O24"/>
    </sheetView>
  </sheetViews>
  <sheetFormatPr defaultRowHeight="12.75" x14ac:dyDescent="0.2"/>
  <cols>
    <col min="1" max="1" width="12.140625" style="163" customWidth="1"/>
    <col min="2" max="2" width="9" style="163" customWidth="1"/>
    <col min="3" max="5" width="6.42578125" style="163" customWidth="1"/>
    <col min="6" max="7" width="6.7109375" style="163" customWidth="1"/>
    <col min="8" max="8" width="58.42578125" style="163" customWidth="1"/>
    <col min="9" max="19" width="9.5703125" style="163" customWidth="1"/>
    <col min="20" max="20" width="9.7109375" style="163" customWidth="1"/>
    <col min="21" max="21" width="7.5703125" style="163" customWidth="1"/>
    <col min="22" max="22" width="12.28515625" style="163" customWidth="1"/>
    <col min="23" max="23" width="9.28515625" style="163" customWidth="1"/>
    <col min="24" max="25" width="7.7109375" style="163" customWidth="1"/>
    <col min="26" max="26" width="16.85546875" style="163" customWidth="1"/>
    <col min="27" max="16384" width="9.140625" style="163"/>
  </cols>
  <sheetData>
    <row r="1" spans="1:26" s="151" customFormat="1" ht="19.5" customHeight="1" x14ac:dyDescent="0.25">
      <c r="A1" s="10" t="s">
        <v>32</v>
      </c>
      <c r="B1" s="11" t="s">
        <v>50</v>
      </c>
      <c r="C1" s="7"/>
      <c r="D1" s="7"/>
      <c r="E1" s="7"/>
      <c r="F1" s="7"/>
      <c r="G1" s="7"/>
      <c r="H1" s="332" t="s">
        <v>56</v>
      </c>
      <c r="I1" s="332"/>
      <c r="J1" s="332"/>
      <c r="K1" s="332"/>
      <c r="L1" s="332"/>
      <c r="M1" s="332"/>
      <c r="N1" s="332"/>
      <c r="O1" s="332"/>
      <c r="P1" s="332"/>
      <c r="Q1" s="332"/>
      <c r="R1" s="332"/>
      <c r="S1" s="332"/>
      <c r="T1" s="332"/>
      <c r="U1" s="332"/>
      <c r="V1" s="7"/>
      <c r="W1" s="7"/>
      <c r="X1" s="7"/>
      <c r="Y1" s="7"/>
      <c r="Z1" s="8"/>
    </row>
    <row r="2" spans="1:26" s="2" customFormat="1" ht="19.5" customHeight="1" x14ac:dyDescent="0.25">
      <c r="A2" s="9" t="s">
        <v>218</v>
      </c>
      <c r="B2" s="3"/>
      <c r="C2" s="1"/>
      <c r="H2" s="333" t="s">
        <v>55</v>
      </c>
      <c r="I2" s="333"/>
      <c r="J2" s="333"/>
      <c r="K2" s="333"/>
      <c r="L2" s="333"/>
      <c r="M2" s="333"/>
      <c r="N2" s="333"/>
      <c r="O2" s="333"/>
      <c r="P2" s="333"/>
      <c r="Q2" s="333"/>
      <c r="R2" s="333"/>
      <c r="S2" s="333"/>
      <c r="T2" s="333"/>
      <c r="U2" s="333"/>
      <c r="W2" s="334"/>
      <c r="X2" s="334"/>
      <c r="Y2" s="335"/>
      <c r="Z2" s="336"/>
    </row>
    <row r="3" spans="1:26" s="2" customFormat="1" ht="19.5" customHeight="1" x14ac:dyDescent="0.25">
      <c r="A3" s="9" t="s">
        <v>219</v>
      </c>
      <c r="B3" s="3"/>
      <c r="C3" s="3"/>
      <c r="D3" s="3"/>
      <c r="E3" s="3"/>
      <c r="F3" s="3"/>
      <c r="W3" s="3"/>
      <c r="X3" s="3"/>
      <c r="Y3" s="335"/>
      <c r="Z3" s="336"/>
    </row>
    <row r="4" spans="1:26" s="2" customFormat="1" ht="19.5" customHeight="1" thickBot="1" x14ac:dyDescent="0.3">
      <c r="A4" s="14" t="s">
        <v>90</v>
      </c>
      <c r="B4" s="12"/>
      <c r="C4" s="12"/>
      <c r="D4" s="12"/>
      <c r="E4" s="12"/>
      <c r="F4" s="12"/>
      <c r="G4" s="12"/>
      <c r="H4" s="12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337" t="s">
        <v>57</v>
      </c>
      <c r="W4" s="337"/>
      <c r="X4" s="338" t="s">
        <v>220</v>
      </c>
      <c r="Y4" s="338"/>
      <c r="Z4" s="339"/>
    </row>
    <row r="5" spans="1:26" s="2" customFormat="1" ht="21.75" customHeight="1" x14ac:dyDescent="0.2">
      <c r="A5" s="349" t="s">
        <v>0</v>
      </c>
      <c r="B5" s="352" t="s">
        <v>1</v>
      </c>
      <c r="C5" s="329" t="s">
        <v>2</v>
      </c>
      <c r="D5" s="329" t="s">
        <v>3</v>
      </c>
      <c r="E5" s="329" t="s">
        <v>4</v>
      </c>
      <c r="F5" s="329" t="s">
        <v>5</v>
      </c>
      <c r="G5" s="329" t="s">
        <v>6</v>
      </c>
      <c r="H5" s="371" t="s">
        <v>7</v>
      </c>
      <c r="I5" s="341"/>
      <c r="J5" s="341"/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2"/>
      <c r="V5" s="329" t="s">
        <v>54</v>
      </c>
      <c r="W5" s="340" t="s">
        <v>9</v>
      </c>
      <c r="X5" s="341"/>
      <c r="Y5" s="342"/>
      <c r="Z5" s="343" t="s">
        <v>10</v>
      </c>
    </row>
    <row r="6" spans="1:26" s="2" customFormat="1" ht="21.75" customHeight="1" x14ac:dyDescent="0.2">
      <c r="A6" s="350"/>
      <c r="B6" s="353"/>
      <c r="C6" s="330"/>
      <c r="D6" s="330"/>
      <c r="E6" s="330"/>
      <c r="F6" s="330"/>
      <c r="G6" s="330"/>
      <c r="H6" s="372"/>
      <c r="I6" s="129" t="s">
        <v>52</v>
      </c>
      <c r="J6" s="129" t="s">
        <v>52</v>
      </c>
      <c r="K6" s="129" t="s">
        <v>52</v>
      </c>
      <c r="L6" s="129" t="s">
        <v>52</v>
      </c>
      <c r="M6" s="64" t="s">
        <v>60</v>
      </c>
      <c r="N6" s="64" t="s">
        <v>60</v>
      </c>
      <c r="O6" s="64" t="s">
        <v>61</v>
      </c>
      <c r="P6" s="64" t="s">
        <v>62</v>
      </c>
      <c r="Q6" s="64" t="s">
        <v>49</v>
      </c>
      <c r="R6" s="368" t="s">
        <v>13</v>
      </c>
      <c r="S6" s="368" t="s">
        <v>63</v>
      </c>
      <c r="T6" s="368" t="s">
        <v>174</v>
      </c>
      <c r="U6" s="346" t="s">
        <v>42</v>
      </c>
      <c r="V6" s="330"/>
      <c r="W6" s="179"/>
      <c r="X6" s="179"/>
      <c r="Y6" s="179"/>
      <c r="Z6" s="344"/>
    </row>
    <row r="7" spans="1:26" s="2" customFormat="1" ht="21.75" customHeight="1" x14ac:dyDescent="0.2">
      <c r="A7" s="350"/>
      <c r="B7" s="353"/>
      <c r="C7" s="330"/>
      <c r="D7" s="330"/>
      <c r="E7" s="330"/>
      <c r="F7" s="330"/>
      <c r="G7" s="330"/>
      <c r="H7" s="372"/>
      <c r="I7" s="181">
        <v>1</v>
      </c>
      <c r="J7" s="181">
        <v>2</v>
      </c>
      <c r="K7" s="181">
        <v>3</v>
      </c>
      <c r="L7" s="181">
        <v>705</v>
      </c>
      <c r="M7" s="178" t="s">
        <v>58</v>
      </c>
      <c r="N7" s="178" t="s">
        <v>59</v>
      </c>
      <c r="O7" s="178" t="s">
        <v>58</v>
      </c>
      <c r="P7" s="181"/>
      <c r="Q7" s="181"/>
      <c r="R7" s="369"/>
      <c r="S7" s="369"/>
      <c r="T7" s="369"/>
      <c r="U7" s="330"/>
      <c r="V7" s="330"/>
      <c r="W7" s="347" t="s">
        <v>14</v>
      </c>
      <c r="X7" s="347" t="s">
        <v>15</v>
      </c>
      <c r="Y7" s="347" t="s">
        <v>16</v>
      </c>
      <c r="Z7" s="344"/>
    </row>
    <row r="8" spans="1:26" s="2" customFormat="1" ht="21.75" customHeight="1" thickBot="1" x14ac:dyDescent="0.25">
      <c r="A8" s="351"/>
      <c r="B8" s="354"/>
      <c r="C8" s="331"/>
      <c r="D8" s="331"/>
      <c r="E8" s="331"/>
      <c r="F8" s="331"/>
      <c r="G8" s="331"/>
      <c r="H8" s="373"/>
      <c r="I8" s="181"/>
      <c r="J8" s="181"/>
      <c r="K8" s="181"/>
      <c r="L8" s="181">
        <v>42</v>
      </c>
      <c r="M8" s="181">
        <v>200</v>
      </c>
      <c r="N8" s="181">
        <v>400</v>
      </c>
      <c r="O8" s="181"/>
      <c r="P8" s="181"/>
      <c r="Q8" s="181"/>
      <c r="R8" s="370"/>
      <c r="S8" s="370"/>
      <c r="T8" s="370"/>
      <c r="U8" s="331"/>
      <c r="V8" s="331"/>
      <c r="W8" s="348"/>
      <c r="X8" s="348"/>
      <c r="Y8" s="348"/>
      <c r="Z8" s="345"/>
    </row>
    <row r="9" spans="1:26" s="2" customFormat="1" ht="21.75" customHeight="1" x14ac:dyDescent="0.2">
      <c r="A9" s="363" t="s">
        <v>84</v>
      </c>
      <c r="B9" s="365" t="s">
        <v>51</v>
      </c>
      <c r="C9" s="58">
        <v>1</v>
      </c>
      <c r="D9" s="27" t="s">
        <v>17</v>
      </c>
      <c r="E9" s="112">
        <v>10</v>
      </c>
      <c r="F9" s="114">
        <v>2.5</v>
      </c>
      <c r="G9" s="114">
        <v>2.5</v>
      </c>
      <c r="H9" s="112" t="s">
        <v>221</v>
      </c>
      <c r="I9" s="110">
        <v>1</v>
      </c>
      <c r="J9" s="110">
        <v>18</v>
      </c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49">
        <v>50</v>
      </c>
      <c r="W9" s="36">
        <f>(V9*J9)+(V9*I9)</f>
        <v>950</v>
      </c>
      <c r="X9" s="182"/>
      <c r="Y9" s="110"/>
      <c r="Z9" s="34"/>
    </row>
    <row r="10" spans="1:26" s="2" customFormat="1" ht="21.75" customHeight="1" x14ac:dyDescent="0.2">
      <c r="A10" s="364"/>
      <c r="B10" s="366"/>
      <c r="C10" s="59">
        <v>2</v>
      </c>
      <c r="D10" s="29" t="s">
        <v>18</v>
      </c>
      <c r="E10" s="113">
        <v>10</v>
      </c>
      <c r="F10" s="115">
        <v>2.5</v>
      </c>
      <c r="G10" s="115">
        <v>2.5</v>
      </c>
      <c r="H10" s="113" t="s">
        <v>222</v>
      </c>
      <c r="I10" s="130">
        <v>9</v>
      </c>
      <c r="J10" s="130">
        <v>1</v>
      </c>
      <c r="K10" s="130">
        <v>10</v>
      </c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44" t="s">
        <v>228</v>
      </c>
      <c r="W10" s="130"/>
      <c r="X10" s="37">
        <f>(50*I10)+(20*J10)+(10*K10)</f>
        <v>570</v>
      </c>
      <c r="Y10" s="177"/>
      <c r="Z10" s="32"/>
    </row>
    <row r="11" spans="1:26" s="2" customFormat="1" ht="21.75" customHeight="1" x14ac:dyDescent="0.2">
      <c r="A11" s="364"/>
      <c r="B11" s="366"/>
      <c r="C11" s="59">
        <v>3</v>
      </c>
      <c r="D11" s="29" t="s">
        <v>19</v>
      </c>
      <c r="E11" s="141">
        <v>10</v>
      </c>
      <c r="F11" s="142">
        <v>2.5</v>
      </c>
      <c r="G11" s="142">
        <v>2.5</v>
      </c>
      <c r="H11" s="141" t="s">
        <v>227</v>
      </c>
      <c r="I11" s="130">
        <v>16</v>
      </c>
      <c r="J11" s="130">
        <v>22</v>
      </c>
      <c r="K11" s="130"/>
      <c r="L11" s="130"/>
      <c r="M11" s="130"/>
      <c r="N11" s="130"/>
      <c r="O11" s="130"/>
      <c r="P11" s="130"/>
      <c r="Q11" s="130"/>
      <c r="R11" s="130"/>
      <c r="S11" s="130"/>
      <c r="T11" s="130"/>
      <c r="U11" s="130"/>
      <c r="V11" s="44" t="s">
        <v>229</v>
      </c>
      <c r="W11" s="130"/>
      <c r="X11" s="130"/>
      <c r="Y11" s="37">
        <f>(15*I11)+(50*J11)</f>
        <v>1340</v>
      </c>
      <c r="Z11" s="32"/>
    </row>
    <row r="12" spans="1:26" s="2" customFormat="1" ht="21.75" customHeight="1" x14ac:dyDescent="0.2">
      <c r="A12" s="364"/>
      <c r="B12" s="366"/>
      <c r="C12" s="61">
        <v>4</v>
      </c>
      <c r="D12" s="43" t="s">
        <v>20</v>
      </c>
      <c r="E12" s="141">
        <v>10</v>
      </c>
      <c r="F12" s="142">
        <v>2.5</v>
      </c>
      <c r="G12" s="142">
        <v>2.5</v>
      </c>
      <c r="H12" s="141" t="s">
        <v>298</v>
      </c>
      <c r="I12" s="47"/>
      <c r="J12" s="47"/>
      <c r="K12" s="47"/>
      <c r="L12" s="47">
        <v>3</v>
      </c>
      <c r="M12" s="47"/>
      <c r="N12" s="47"/>
      <c r="O12" s="47"/>
      <c r="P12" s="47"/>
      <c r="Q12" s="47"/>
      <c r="R12" s="47"/>
      <c r="S12" s="47"/>
      <c r="T12" s="126"/>
      <c r="U12" s="126"/>
      <c r="V12" s="50"/>
      <c r="W12" s="52">
        <f>L12*L8</f>
        <v>126</v>
      </c>
      <c r="X12" s="126"/>
      <c r="Y12" s="126"/>
      <c r="Z12" s="124"/>
    </row>
    <row r="13" spans="1:26" s="2" customFormat="1" ht="21.75" customHeight="1" x14ac:dyDescent="0.2">
      <c r="A13" s="364"/>
      <c r="B13" s="366"/>
      <c r="C13" s="59">
        <v>5</v>
      </c>
      <c r="D13" s="29" t="s">
        <v>21</v>
      </c>
      <c r="E13" s="113">
        <v>10</v>
      </c>
      <c r="F13" s="115">
        <v>2.5</v>
      </c>
      <c r="G13" s="115">
        <v>2.5</v>
      </c>
      <c r="H13" s="113" t="s">
        <v>299</v>
      </c>
      <c r="I13" s="130"/>
      <c r="J13" s="130">
        <v>2</v>
      </c>
      <c r="K13" s="130"/>
      <c r="L13" s="130"/>
      <c r="M13" s="130"/>
      <c r="N13" s="130"/>
      <c r="O13" s="130"/>
      <c r="P13" s="130"/>
      <c r="Q13" s="130"/>
      <c r="R13" s="130"/>
      <c r="S13" s="130"/>
      <c r="T13" s="130"/>
      <c r="U13" s="130"/>
      <c r="V13" s="44">
        <v>20</v>
      </c>
      <c r="W13" s="130"/>
      <c r="X13" s="37">
        <f>(20*I13)+(100*J13)</f>
        <v>200</v>
      </c>
      <c r="Y13" s="177"/>
      <c r="Z13" s="132"/>
    </row>
    <row r="14" spans="1:26" s="2" customFormat="1" ht="21.75" customHeight="1" thickBot="1" x14ac:dyDescent="0.25">
      <c r="A14" s="364"/>
      <c r="B14" s="367"/>
      <c r="C14" s="60">
        <v>6</v>
      </c>
      <c r="D14" s="41" t="s">
        <v>22</v>
      </c>
      <c r="E14" s="46">
        <v>10</v>
      </c>
      <c r="F14" s="51">
        <v>2.5</v>
      </c>
      <c r="G14" s="51">
        <v>2.5</v>
      </c>
      <c r="H14" s="46" t="s">
        <v>226</v>
      </c>
      <c r="I14" s="131">
        <v>7</v>
      </c>
      <c r="J14" s="131"/>
      <c r="K14" s="131"/>
      <c r="L14" s="131"/>
      <c r="M14" s="131"/>
      <c r="N14" s="131"/>
      <c r="O14" s="131"/>
      <c r="P14" s="131"/>
      <c r="Q14" s="131"/>
      <c r="R14" s="131"/>
      <c r="S14" s="131"/>
      <c r="T14" s="131"/>
      <c r="U14" s="131"/>
      <c r="V14" s="45">
        <v>15</v>
      </c>
      <c r="W14" s="131"/>
      <c r="X14" s="131"/>
      <c r="Y14" s="38">
        <f>V14*I14</f>
        <v>105</v>
      </c>
      <c r="Z14" s="35"/>
    </row>
    <row r="15" spans="1:26" s="2" customFormat="1" ht="21.75" customHeight="1" x14ac:dyDescent="0.2">
      <c r="A15" s="364"/>
      <c r="B15" s="365" t="s">
        <v>64</v>
      </c>
      <c r="C15" s="58">
        <v>7</v>
      </c>
      <c r="D15" s="27" t="s">
        <v>33</v>
      </c>
      <c r="E15" s="112">
        <v>20</v>
      </c>
      <c r="F15" s="114">
        <v>4</v>
      </c>
      <c r="G15" s="114">
        <v>4</v>
      </c>
      <c r="H15" s="112" t="s">
        <v>223</v>
      </c>
      <c r="I15" s="110"/>
      <c r="J15" s="110"/>
      <c r="K15" s="110"/>
      <c r="L15" s="110"/>
      <c r="M15" s="110">
        <v>1</v>
      </c>
      <c r="N15" s="110">
        <v>2</v>
      </c>
      <c r="O15" s="110"/>
      <c r="P15" s="110"/>
      <c r="Q15" s="110"/>
      <c r="R15" s="110"/>
      <c r="S15" s="110"/>
      <c r="T15" s="152"/>
      <c r="U15" s="110"/>
      <c r="V15" s="153"/>
      <c r="W15" s="36">
        <f>SUM(M15*M8,N15*N8)</f>
        <v>1000</v>
      </c>
      <c r="X15" s="110"/>
      <c r="Y15" s="110"/>
      <c r="Z15" s="34"/>
    </row>
    <row r="16" spans="1:26" s="2" customFormat="1" ht="21.75" customHeight="1" x14ac:dyDescent="0.2">
      <c r="A16" s="364"/>
      <c r="B16" s="366"/>
      <c r="C16" s="59">
        <v>8</v>
      </c>
      <c r="D16" s="29" t="s">
        <v>34</v>
      </c>
      <c r="E16" s="113">
        <v>20</v>
      </c>
      <c r="F16" s="115">
        <v>4</v>
      </c>
      <c r="G16" s="115">
        <v>4</v>
      </c>
      <c r="H16" s="141" t="s">
        <v>224</v>
      </c>
      <c r="I16" s="130"/>
      <c r="J16" s="130"/>
      <c r="K16" s="130"/>
      <c r="L16" s="130"/>
      <c r="M16" s="130">
        <v>1</v>
      </c>
      <c r="N16" s="130">
        <v>2</v>
      </c>
      <c r="O16" s="130"/>
      <c r="P16" s="130"/>
      <c r="Q16" s="130"/>
      <c r="R16" s="130"/>
      <c r="S16" s="130"/>
      <c r="T16" s="154"/>
      <c r="U16" s="126"/>
      <c r="V16" s="150"/>
      <c r="W16" s="130"/>
      <c r="X16" s="52">
        <f>SUM(M16*M8,N16*N8)</f>
        <v>1000</v>
      </c>
      <c r="Y16" s="177"/>
      <c r="Z16" s="32"/>
    </row>
    <row r="17" spans="1:26" s="139" customFormat="1" ht="21.75" customHeight="1" x14ac:dyDescent="0.2">
      <c r="A17" s="364"/>
      <c r="B17" s="366"/>
      <c r="C17" s="59">
        <v>9</v>
      </c>
      <c r="D17" s="29" t="s">
        <v>35</v>
      </c>
      <c r="E17" s="141">
        <v>32</v>
      </c>
      <c r="F17" s="115">
        <v>4</v>
      </c>
      <c r="G17" s="115">
        <v>4</v>
      </c>
      <c r="H17" s="141" t="s">
        <v>225</v>
      </c>
      <c r="I17" s="130"/>
      <c r="J17" s="130"/>
      <c r="K17" s="130"/>
      <c r="L17" s="130"/>
      <c r="M17" s="130"/>
      <c r="N17" s="130">
        <v>4</v>
      </c>
      <c r="O17" s="130"/>
      <c r="P17" s="130"/>
      <c r="Q17" s="130"/>
      <c r="R17" s="130"/>
      <c r="S17" s="130"/>
      <c r="T17" s="154"/>
      <c r="U17" s="126"/>
      <c r="V17" s="150"/>
      <c r="W17" s="130"/>
      <c r="X17" s="130"/>
      <c r="Y17" s="37">
        <f>N17*N8</f>
        <v>1600</v>
      </c>
      <c r="Z17" s="32" t="s">
        <v>300</v>
      </c>
    </row>
    <row r="18" spans="1:26" s="139" customFormat="1" ht="21.75" customHeight="1" x14ac:dyDescent="0.2">
      <c r="A18" s="364"/>
      <c r="B18" s="366"/>
      <c r="C18" s="240">
        <v>10</v>
      </c>
      <c r="D18" s="241" t="s">
        <v>23</v>
      </c>
      <c r="E18" s="242">
        <v>20</v>
      </c>
      <c r="F18" s="243">
        <v>4</v>
      </c>
      <c r="G18" s="243">
        <v>4</v>
      </c>
      <c r="H18" s="242" t="s">
        <v>225</v>
      </c>
      <c r="I18" s="244"/>
      <c r="J18" s="244"/>
      <c r="K18" s="244"/>
      <c r="L18" s="244"/>
      <c r="M18" s="244">
        <v>2</v>
      </c>
      <c r="N18" s="244"/>
      <c r="O18" s="244"/>
      <c r="P18" s="244"/>
      <c r="Q18" s="244"/>
      <c r="R18" s="244"/>
      <c r="S18" s="244"/>
      <c r="T18" s="245"/>
      <c r="U18" s="246"/>
      <c r="V18" s="250"/>
      <c r="W18" s="247">
        <f>M18*M8</f>
        <v>400</v>
      </c>
      <c r="X18" s="248"/>
      <c r="Y18" s="248"/>
      <c r="Z18" s="249"/>
    </row>
    <row r="19" spans="1:26" s="2" customFormat="1" ht="21.75" customHeight="1" x14ac:dyDescent="0.2">
      <c r="A19" s="364"/>
      <c r="B19" s="366"/>
      <c r="C19" s="59">
        <v>11</v>
      </c>
      <c r="D19" s="29" t="s">
        <v>24</v>
      </c>
      <c r="E19" s="141">
        <v>20</v>
      </c>
      <c r="F19" s="115">
        <v>4</v>
      </c>
      <c r="G19" s="115">
        <v>4</v>
      </c>
      <c r="H19" s="141" t="s">
        <v>298</v>
      </c>
      <c r="I19" s="126"/>
      <c r="J19" s="130"/>
      <c r="K19" s="130"/>
      <c r="L19" s="130"/>
      <c r="M19" s="130">
        <v>1</v>
      </c>
      <c r="N19" s="130">
        <v>1</v>
      </c>
      <c r="O19" s="130"/>
      <c r="P19" s="130"/>
      <c r="Q19" s="130"/>
      <c r="R19" s="130"/>
      <c r="S19" s="130"/>
      <c r="T19" s="226"/>
      <c r="U19" s="130"/>
      <c r="V19" s="227"/>
      <c r="W19" s="130"/>
      <c r="X19" s="52">
        <f>SUM(M19*M8,N19*N8)</f>
        <v>600</v>
      </c>
      <c r="Y19" s="177"/>
      <c r="Z19" s="32"/>
    </row>
    <row r="20" spans="1:26" s="2" customFormat="1" ht="21.75" customHeight="1" thickBot="1" x14ac:dyDescent="0.25">
      <c r="A20" s="364"/>
      <c r="B20" s="367"/>
      <c r="C20" s="60">
        <v>12</v>
      </c>
      <c r="D20" s="41" t="s">
        <v>25</v>
      </c>
      <c r="E20" s="186"/>
      <c r="F20" s="115"/>
      <c r="G20" s="115"/>
      <c r="H20" s="186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228"/>
      <c r="U20" s="183"/>
      <c r="V20" s="229"/>
      <c r="W20" s="131"/>
      <c r="X20" s="130"/>
      <c r="Y20" s="37">
        <f>N20*N8</f>
        <v>0</v>
      </c>
      <c r="Z20" s="54"/>
    </row>
    <row r="21" spans="1:26" s="2" customFormat="1" ht="21.75" customHeight="1" x14ac:dyDescent="0.2">
      <c r="A21" s="364"/>
      <c r="B21" s="365" t="s">
        <v>64</v>
      </c>
      <c r="C21" s="58">
        <v>13</v>
      </c>
      <c r="D21" s="27" t="s">
        <v>26</v>
      </c>
      <c r="E21" s="112"/>
      <c r="F21" s="114"/>
      <c r="G21" s="114"/>
      <c r="H21" s="112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52"/>
      <c r="U21" s="110"/>
      <c r="V21" s="153"/>
      <c r="W21" s="36">
        <f>N21*N8</f>
        <v>0</v>
      </c>
      <c r="X21" s="110"/>
      <c r="Y21" s="110"/>
      <c r="Z21" s="34"/>
    </row>
    <row r="22" spans="1:26" s="2" customFormat="1" ht="21.75" customHeight="1" x14ac:dyDescent="0.2">
      <c r="A22" s="364"/>
      <c r="B22" s="366"/>
      <c r="C22" s="59">
        <v>14</v>
      </c>
      <c r="D22" s="29" t="s">
        <v>27</v>
      </c>
      <c r="E22" s="113"/>
      <c r="F22" s="115"/>
      <c r="G22" s="115"/>
      <c r="H22" s="113"/>
      <c r="I22" s="126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154"/>
      <c r="U22" s="126"/>
      <c r="V22" s="150"/>
      <c r="W22" s="126"/>
      <c r="X22" s="52">
        <f>N22*N8</f>
        <v>0</v>
      </c>
      <c r="Y22" s="177"/>
      <c r="Z22" s="32"/>
    </row>
    <row r="23" spans="1:26" s="2" customFormat="1" ht="21.75" customHeight="1" x14ac:dyDescent="0.2">
      <c r="A23" s="364"/>
      <c r="B23" s="366"/>
      <c r="C23" s="59">
        <v>15</v>
      </c>
      <c r="D23" s="29" t="s">
        <v>28</v>
      </c>
      <c r="E23" s="141">
        <v>20</v>
      </c>
      <c r="F23" s="115">
        <v>4</v>
      </c>
      <c r="G23" s="115">
        <v>4</v>
      </c>
      <c r="H23" s="113" t="s">
        <v>226</v>
      </c>
      <c r="I23" s="130"/>
      <c r="J23" s="130"/>
      <c r="K23" s="130"/>
      <c r="L23" s="130"/>
      <c r="M23" s="130"/>
      <c r="N23" s="130">
        <v>1</v>
      </c>
      <c r="O23" s="130"/>
      <c r="P23" s="130"/>
      <c r="Q23" s="130"/>
      <c r="R23" s="130"/>
      <c r="S23" s="130"/>
      <c r="T23" s="154"/>
      <c r="U23" s="126"/>
      <c r="V23" s="150"/>
      <c r="W23" s="130"/>
      <c r="X23" s="130"/>
      <c r="Y23" s="37">
        <f>N23*N8</f>
        <v>400</v>
      </c>
      <c r="Z23" s="32"/>
    </row>
    <row r="24" spans="1:26" s="2" customFormat="1" ht="21.75" customHeight="1" x14ac:dyDescent="0.2">
      <c r="A24" s="364"/>
      <c r="B24" s="366"/>
      <c r="C24" s="61">
        <v>16</v>
      </c>
      <c r="D24" s="43" t="s">
        <v>29</v>
      </c>
      <c r="E24" s="141"/>
      <c r="F24" s="142"/>
      <c r="G24" s="142"/>
      <c r="H24" s="141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126"/>
      <c r="V24" s="50"/>
      <c r="W24" s="52">
        <f>V24*T24</f>
        <v>0</v>
      </c>
      <c r="X24" s="126"/>
      <c r="Y24" s="126"/>
      <c r="Z24" s="53"/>
    </row>
    <row r="25" spans="1:26" s="2" customFormat="1" ht="21.75" customHeight="1" x14ac:dyDescent="0.2">
      <c r="A25" s="364"/>
      <c r="B25" s="366"/>
      <c r="C25" s="59">
        <v>17</v>
      </c>
      <c r="D25" s="29" t="s">
        <v>30</v>
      </c>
      <c r="E25" s="141"/>
      <c r="F25" s="142"/>
      <c r="G25" s="142"/>
      <c r="H25" s="113"/>
      <c r="I25" s="130"/>
      <c r="J25" s="130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44"/>
      <c r="W25" s="130"/>
      <c r="X25" s="37">
        <f>V25*T25</f>
        <v>0</v>
      </c>
      <c r="Y25" s="177"/>
      <c r="Z25" s="32"/>
    </row>
    <row r="26" spans="1:26" s="2" customFormat="1" ht="21.75" customHeight="1" thickBot="1" x14ac:dyDescent="0.25">
      <c r="A26" s="364"/>
      <c r="B26" s="367"/>
      <c r="C26" s="60">
        <v>18</v>
      </c>
      <c r="D26" s="41" t="s">
        <v>31</v>
      </c>
      <c r="E26" s="141"/>
      <c r="F26" s="142"/>
      <c r="G26" s="142"/>
      <c r="H26" s="113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57"/>
      <c r="W26" s="131"/>
      <c r="X26" s="131"/>
      <c r="Y26" s="134">
        <f>V26*T26</f>
        <v>0</v>
      </c>
      <c r="Z26" s="54"/>
    </row>
    <row r="27" spans="1:26" s="2" customFormat="1" ht="21.75" customHeight="1" x14ac:dyDescent="0.2">
      <c r="A27" s="364"/>
      <c r="B27" s="365" t="s">
        <v>64</v>
      </c>
      <c r="C27" s="58">
        <v>19</v>
      </c>
      <c r="D27" s="27" t="s">
        <v>36</v>
      </c>
      <c r="E27" s="112"/>
      <c r="F27" s="114"/>
      <c r="G27" s="114"/>
      <c r="H27" s="112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49"/>
      <c r="W27" s="36">
        <f>V27*T27</f>
        <v>0</v>
      </c>
      <c r="X27" s="182"/>
      <c r="Y27" s="110"/>
      <c r="Z27" s="34"/>
    </row>
    <row r="28" spans="1:26" s="2" customFormat="1" ht="21.75" customHeight="1" x14ac:dyDescent="0.2">
      <c r="A28" s="364"/>
      <c r="B28" s="366"/>
      <c r="C28" s="59">
        <v>20</v>
      </c>
      <c r="D28" s="29" t="s">
        <v>37</v>
      </c>
      <c r="E28" s="141"/>
      <c r="F28" s="142"/>
      <c r="G28" s="142"/>
      <c r="H28" s="113"/>
      <c r="I28" s="130"/>
      <c r="J28" s="130"/>
      <c r="K28" s="130"/>
      <c r="L28" s="130"/>
      <c r="M28" s="130"/>
      <c r="N28" s="130"/>
      <c r="O28" s="130"/>
      <c r="P28" s="130"/>
      <c r="Q28" s="130"/>
      <c r="R28" s="130"/>
      <c r="S28" s="130"/>
      <c r="T28" s="130"/>
      <c r="U28" s="130"/>
      <c r="V28" s="44"/>
      <c r="W28" s="130"/>
      <c r="X28" s="37">
        <v>0</v>
      </c>
      <c r="Y28" s="177"/>
      <c r="Z28" s="32"/>
    </row>
    <row r="29" spans="1:26" s="2" customFormat="1" ht="21.75" customHeight="1" x14ac:dyDescent="0.2">
      <c r="A29" s="364"/>
      <c r="B29" s="366"/>
      <c r="C29" s="59">
        <v>21</v>
      </c>
      <c r="D29" s="29" t="s">
        <v>38</v>
      </c>
      <c r="E29" s="113"/>
      <c r="F29" s="115"/>
      <c r="G29" s="115"/>
      <c r="H29" s="113"/>
      <c r="I29" s="130"/>
      <c r="J29" s="130"/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44"/>
      <c r="W29" s="130"/>
      <c r="X29" s="130"/>
      <c r="Y29" s="37">
        <v>0</v>
      </c>
      <c r="Z29" s="32"/>
    </row>
    <row r="30" spans="1:26" s="2" customFormat="1" ht="21.75" customHeight="1" x14ac:dyDescent="0.2">
      <c r="A30" s="364"/>
      <c r="B30" s="366"/>
      <c r="C30" s="61">
        <v>22</v>
      </c>
      <c r="D30" s="43" t="s">
        <v>39</v>
      </c>
      <c r="E30" s="141"/>
      <c r="F30" s="115"/>
      <c r="G30" s="115"/>
      <c r="H30" s="141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38"/>
      <c r="W30" s="52">
        <f>V30*T30</f>
        <v>0</v>
      </c>
      <c r="X30" s="126"/>
      <c r="Y30" s="126"/>
      <c r="Z30" s="53"/>
    </row>
    <row r="31" spans="1:26" s="2" customFormat="1" ht="21.75" customHeight="1" x14ac:dyDescent="0.2">
      <c r="A31" s="364"/>
      <c r="B31" s="366"/>
      <c r="C31" s="59">
        <v>23</v>
      </c>
      <c r="D31" s="29" t="s">
        <v>40</v>
      </c>
      <c r="E31" s="113"/>
      <c r="F31" s="115"/>
      <c r="G31" s="115"/>
      <c r="H31" s="113"/>
      <c r="I31" s="130"/>
      <c r="J31" s="130"/>
      <c r="K31" s="130"/>
      <c r="L31" s="130"/>
      <c r="M31" s="130"/>
      <c r="N31" s="130"/>
      <c r="O31" s="130"/>
      <c r="P31" s="130"/>
      <c r="Q31" s="130"/>
      <c r="R31" s="130"/>
      <c r="S31" s="130"/>
      <c r="T31" s="130"/>
      <c r="U31" s="130"/>
      <c r="V31" s="111"/>
      <c r="W31" s="130"/>
      <c r="X31" s="37">
        <v>0</v>
      </c>
      <c r="Y31" s="177"/>
      <c r="Z31" s="32"/>
    </row>
    <row r="32" spans="1:26" s="2" customFormat="1" ht="21.75" customHeight="1" thickBot="1" x14ac:dyDescent="0.25">
      <c r="A32" s="364"/>
      <c r="B32" s="367"/>
      <c r="C32" s="60">
        <v>24</v>
      </c>
      <c r="D32" s="41" t="s">
        <v>41</v>
      </c>
      <c r="E32" s="46"/>
      <c r="F32" s="51"/>
      <c r="G32" s="51"/>
      <c r="H32" s="46"/>
      <c r="I32" s="131"/>
      <c r="J32" s="131"/>
      <c r="K32" s="131"/>
      <c r="L32" s="131"/>
      <c r="M32" s="131"/>
      <c r="N32" s="131"/>
      <c r="O32" s="131"/>
      <c r="P32" s="131"/>
      <c r="Q32" s="131"/>
      <c r="R32" s="131"/>
      <c r="S32" s="177"/>
      <c r="T32" s="177"/>
      <c r="U32" s="177"/>
      <c r="V32" s="65"/>
      <c r="W32" s="131"/>
      <c r="X32" s="131"/>
      <c r="Y32" s="38">
        <v>0</v>
      </c>
      <c r="Z32" s="54"/>
    </row>
    <row r="33" spans="1:27" s="2" customFormat="1" ht="21.75" customHeight="1" x14ac:dyDescent="0.2">
      <c r="A33" s="5"/>
      <c r="B33" s="6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24"/>
      <c r="S33" s="375" t="s">
        <v>45</v>
      </c>
      <c r="T33" s="376"/>
      <c r="U33" s="376"/>
      <c r="V33" s="377"/>
      <c r="W33" s="155">
        <f>SUM(W9:W32)</f>
        <v>2476</v>
      </c>
      <c r="X33" s="155">
        <f>SUM(X9:X32)</f>
        <v>2370</v>
      </c>
      <c r="Y33" s="155">
        <f>SUM(Y9:Y32)</f>
        <v>3445</v>
      </c>
      <c r="Z33" s="156">
        <f>SUM(W33:Y33)</f>
        <v>8291</v>
      </c>
      <c r="AA33" s="157"/>
    </row>
    <row r="34" spans="1:27" s="2" customFormat="1" ht="21.75" customHeight="1" x14ac:dyDescent="0.2">
      <c r="A34" s="4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24"/>
      <c r="S34" s="378" t="s">
        <v>171</v>
      </c>
      <c r="T34" s="379"/>
      <c r="U34" s="379"/>
      <c r="V34" s="380"/>
      <c r="W34" s="158">
        <f>W33/0.8</f>
        <v>3095</v>
      </c>
      <c r="X34" s="158">
        <f>X33/0.8</f>
        <v>2962.5</v>
      </c>
      <c r="Y34" s="158">
        <f>Y33/0.8</f>
        <v>4306.25</v>
      </c>
      <c r="Z34" s="159">
        <f>SUM(W34:Y34)</f>
        <v>10363.75</v>
      </c>
      <c r="AA34" s="157"/>
    </row>
    <row r="35" spans="1:27" s="2" customFormat="1" ht="20.100000000000001" customHeight="1" x14ac:dyDescent="0.2">
      <c r="A35" s="4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24"/>
      <c r="S35" s="378" t="s">
        <v>170</v>
      </c>
      <c r="T35" s="379"/>
      <c r="U35" s="379"/>
      <c r="V35" s="380"/>
      <c r="W35" s="393">
        <v>0.7</v>
      </c>
      <c r="X35" s="394"/>
      <c r="Y35" s="395"/>
      <c r="Z35" s="160"/>
    </row>
    <row r="36" spans="1:27" s="2" customFormat="1" ht="20.100000000000001" customHeight="1" thickBot="1" x14ac:dyDescent="0.25">
      <c r="A36" s="15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7"/>
      <c r="S36" s="358" t="s">
        <v>172</v>
      </c>
      <c r="T36" s="359"/>
      <c r="U36" s="359"/>
      <c r="V36" s="360"/>
      <c r="W36" s="361">
        <f>(W35*Z34)/1000</f>
        <v>7.254624999999999</v>
      </c>
      <c r="X36" s="362"/>
      <c r="Y36" s="161" t="s">
        <v>43</v>
      </c>
      <c r="Z36" s="162"/>
    </row>
    <row r="37" spans="1:27" s="2" customFormat="1" ht="20.100000000000001" customHeight="1" x14ac:dyDescent="0.2">
      <c r="A37" s="4" t="s">
        <v>78</v>
      </c>
      <c r="B37" s="18" t="s">
        <v>169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0"/>
      <c r="V37" s="180"/>
      <c r="W37" s="19"/>
      <c r="X37" s="19"/>
      <c r="Y37" s="19"/>
      <c r="Z37" s="127"/>
    </row>
    <row r="38" spans="1:27" s="2" customFormat="1" ht="33.75" customHeight="1" x14ac:dyDescent="0.2">
      <c r="A38" s="25" t="s">
        <v>77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18"/>
      <c r="V38" s="18"/>
      <c r="W38" s="19"/>
      <c r="X38" s="19"/>
      <c r="Y38" s="19"/>
      <c r="Z38" s="127"/>
    </row>
    <row r="39" spans="1:27" s="2" customFormat="1" ht="20.100000000000001" customHeight="1" thickBot="1" x14ac:dyDescent="0.25">
      <c r="A39" s="21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16"/>
      <c r="V39" s="16"/>
      <c r="W39" s="23"/>
      <c r="X39" s="23"/>
      <c r="Y39" s="23"/>
      <c r="Z39" s="128"/>
    </row>
  </sheetData>
  <mergeCells count="37">
    <mergeCell ref="S36:V36"/>
    <mergeCell ref="W36:X36"/>
    <mergeCell ref="B21:B26"/>
    <mergeCell ref="B27:B32"/>
    <mergeCell ref="S33:V33"/>
    <mergeCell ref="S34:V34"/>
    <mergeCell ref="S35:V35"/>
    <mergeCell ref="W35:Y35"/>
    <mergeCell ref="A9:A32"/>
    <mergeCell ref="B9:B14"/>
    <mergeCell ref="B15:B20"/>
    <mergeCell ref="G5:G8"/>
    <mergeCell ref="H5:H8"/>
    <mergeCell ref="F5:F8"/>
    <mergeCell ref="A5:A8"/>
    <mergeCell ref="B5:B8"/>
    <mergeCell ref="C5:C8"/>
    <mergeCell ref="D5:D8"/>
    <mergeCell ref="E5:E8"/>
    <mergeCell ref="H1:U1"/>
    <mergeCell ref="H2:U2"/>
    <mergeCell ref="W2:X2"/>
    <mergeCell ref="Y2:Z2"/>
    <mergeCell ref="Y3:Z3"/>
    <mergeCell ref="V4:W4"/>
    <mergeCell ref="X4:Z4"/>
    <mergeCell ref="Z5:Z8"/>
    <mergeCell ref="R6:R8"/>
    <mergeCell ref="S6:S8"/>
    <mergeCell ref="T6:T8"/>
    <mergeCell ref="U6:U8"/>
    <mergeCell ref="W7:W8"/>
    <mergeCell ref="X7:X8"/>
    <mergeCell ref="Y7:Y8"/>
    <mergeCell ref="I5:U5"/>
    <mergeCell ref="V5:V8"/>
    <mergeCell ref="W5:Y5"/>
  </mergeCells>
  <printOptions horizontalCentered="1"/>
  <pageMargins left="0.53" right="0.14000000000000001" top="0.52" bottom="0.21" header="0.17" footer="0.17"/>
  <pageSetup paperSize="9" scale="4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10</vt:i4>
      </vt:variant>
    </vt:vector>
  </HeadingPairs>
  <TitlesOfParts>
    <vt:vector size="16" baseType="lpstr">
      <vt:lpstr>SMDB-1</vt:lpstr>
      <vt:lpstr>DB-1-N2</vt:lpstr>
      <vt:lpstr>1-SPA2</vt:lpstr>
      <vt:lpstr>1-SPA-1</vt:lpstr>
      <vt:lpstr>SP-LL</vt:lpstr>
      <vt:lpstr>1-SPA-3</vt:lpstr>
      <vt:lpstr>'1-SPA-1'!Print_Area</vt:lpstr>
      <vt:lpstr>'1-SPA2'!Print_Area</vt:lpstr>
      <vt:lpstr>'1-SPA-3'!Print_Area</vt:lpstr>
      <vt:lpstr>'DB-1-N2'!Print_Area</vt:lpstr>
      <vt:lpstr>'SP-LL'!Print_Area</vt:lpstr>
      <vt:lpstr>'1-SPA-1'!Print_Titles</vt:lpstr>
      <vt:lpstr>'1-SPA2'!Print_Titles</vt:lpstr>
      <vt:lpstr>'1-SPA-3'!Print_Titles</vt:lpstr>
      <vt:lpstr>'DB-1-N2'!Print_Titles</vt:lpstr>
      <vt:lpstr>'SP-LL'!Print_Titles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shankar</dc:creator>
  <cp:lastModifiedBy>reyfrancis</cp:lastModifiedBy>
  <cp:lastPrinted>2019-07-02T08:41:17Z</cp:lastPrinted>
  <dcterms:created xsi:type="dcterms:W3CDTF">2009-05-07T13:18:36Z</dcterms:created>
  <dcterms:modified xsi:type="dcterms:W3CDTF">2019-09-05T09:40:16Z</dcterms:modified>
</cp:coreProperties>
</file>